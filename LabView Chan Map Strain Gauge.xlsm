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525" windowWidth="20640" windowHeight="7920" activeTab="2"/>
  </bookViews>
  <sheets>
    <sheet name="ChanCfg" sheetId="1" r:id="rId1"/>
    <sheet name="ChanCfg (2)" sheetId="2" r:id="rId2"/>
    <sheet name="ChanCfg v200908" sheetId="3" r:id="rId3"/>
  </sheets>
  <calcPr calcId="145621"/>
</workbook>
</file>

<file path=xl/calcChain.xml><?xml version="1.0" encoding="utf-8"?>
<calcChain xmlns="http://schemas.openxmlformats.org/spreadsheetml/2006/main">
  <c r="AB38" i="3" l="1"/>
  <c r="K35" i="3"/>
  <c r="AB34" i="3"/>
  <c r="AB37" i="3" s="1"/>
  <c r="D31" i="3"/>
  <c r="AC29" i="3"/>
  <c r="AC30" i="3" s="1"/>
  <c r="AA27" i="3"/>
  <c r="U12" i="3"/>
  <c r="U13" i="3" s="1"/>
  <c r="U14" i="3" s="1"/>
  <c r="M4" i="3"/>
  <c r="K4" i="3"/>
  <c r="K3" i="3"/>
  <c r="AB38" i="2" l="1"/>
  <c r="K35" i="2"/>
  <c r="AB34" i="2"/>
  <c r="AB37" i="2" s="1"/>
  <c r="D31" i="2"/>
  <c r="AC29" i="2"/>
  <c r="AC30" i="2" s="1"/>
  <c r="AA27" i="2"/>
  <c r="U12" i="2"/>
  <c r="U13" i="2" s="1"/>
  <c r="U14" i="2" s="1"/>
  <c r="AB38" i="1" l="1"/>
  <c r="K35" i="1"/>
  <c r="AB34" i="1"/>
  <c r="AB37" i="1" s="1"/>
  <c r="D31" i="1"/>
  <c r="AC29" i="1"/>
  <c r="AC30" i="1" s="1"/>
  <c r="AA27" i="1"/>
  <c r="U12" i="1"/>
  <c r="U13" i="1" s="1"/>
  <c r="U14" i="1" s="1"/>
</calcChain>
</file>

<file path=xl/sharedStrings.xml><?xml version="1.0" encoding="utf-8"?>
<sst xmlns="http://schemas.openxmlformats.org/spreadsheetml/2006/main" count="723" uniqueCount="151">
  <si>
    <t>Revisions</t>
  </si>
  <si>
    <t>BNC Jack</t>
  </si>
  <si>
    <t>LabView Name</t>
  </si>
  <si>
    <t>Verbose Name</t>
  </si>
  <si>
    <t>Kistler SCP Assignment</t>
  </si>
  <si>
    <t>PXI Channel</t>
  </si>
  <si>
    <t>Color</t>
  </si>
  <si>
    <t>Range</t>
  </si>
  <si>
    <t>Voltage Divided?</t>
  </si>
  <si>
    <t>Sample Rate</t>
  </si>
  <si>
    <t>Sensor SN</t>
  </si>
  <si>
    <t>Sensitivity</t>
  </si>
  <si>
    <t>Units</t>
  </si>
  <si>
    <t>Offset</t>
  </si>
  <si>
    <t>Description</t>
  </si>
  <si>
    <t>Barometer</t>
  </si>
  <si>
    <t>v180406 updated channel name of "HS_61" to "RPM_2SPD_OT_6602"</t>
  </si>
  <si>
    <t>T0</t>
  </si>
  <si>
    <t>Dev4, Ch 0</t>
  </si>
  <si>
    <t>red</t>
  </si>
  <si>
    <t>No</t>
  </si>
  <si>
    <t>10 Hz</t>
  </si>
  <si>
    <t>quarter bridge strain gauge on gear post</t>
  </si>
  <si>
    <t>bar a</t>
  </si>
  <si>
    <t>v181025 using channel map to build LabView waveforms for Orthrus oil pump performance testing</t>
  </si>
  <si>
    <t>T1_OIL_OT</t>
  </si>
  <si>
    <t>Dev4, Ch 1</t>
  </si>
  <si>
    <t>white</t>
  </si>
  <si>
    <t>v181101 recalibrating the 6 pressure transducers in use.  Original calibration using the 5.37 volt power supply was giving different output from Honeywell sensors than the 5.00 volt supplied by the ECU.</t>
  </si>
  <si>
    <t>T2</t>
  </si>
  <si>
    <t>HS_STRAIN_LOAD_A</t>
  </si>
  <si>
    <t>Dev4, Ch 2</t>
  </si>
  <si>
    <t>green</t>
  </si>
  <si>
    <t>pancake load cell A</t>
  </si>
  <si>
    <t>v190220 changing Dev2/Chn0 back to an RPM for Magnum oil flow test.</t>
  </si>
  <si>
    <t>T3</t>
  </si>
  <si>
    <t>HS_STRAIN_LOAD_B</t>
  </si>
  <si>
    <t>Dev4, Ch 3</t>
  </si>
  <si>
    <t>blue</t>
  </si>
  <si>
    <t>pancake load cell B</t>
  </si>
  <si>
    <t xml:space="preserve">v190403 All channels ran through dev3 (NI N6229) Temps and Pressures added, flows reconfigured </t>
  </si>
  <si>
    <t>T4</t>
  </si>
  <si>
    <t>Dev4, Ch 4</t>
  </si>
  <si>
    <t>°C</t>
  </si>
  <si>
    <t>Thermocople</t>
  </si>
  <si>
    <t>T5</t>
  </si>
  <si>
    <t>Dev4, Ch 5</t>
  </si>
  <si>
    <t>T6</t>
  </si>
  <si>
    <t>Dev4, Ch 6</t>
  </si>
  <si>
    <t>pulses per second per volt</t>
  </si>
  <si>
    <t>T7</t>
  </si>
  <si>
    <t>Dev4, Ch 7</t>
  </si>
  <si>
    <t>PPR</t>
  </si>
  <si>
    <t>RPM_2SPD_IN_FV</t>
  </si>
  <si>
    <t>Open</t>
  </si>
  <si>
    <t>Dev4, Ch 8</t>
  </si>
  <si>
    <t>RPM_2SPD_OT_FV</t>
  </si>
  <si>
    <t>Dev4, Ch 9</t>
  </si>
  <si>
    <t>Volt/RPS</t>
  </si>
  <si>
    <t>Dev4, Ch 10</t>
  </si>
  <si>
    <t>Volt/RPM</t>
  </si>
  <si>
    <t>Dev4, Ch 11</t>
  </si>
  <si>
    <t>RPM/Volt</t>
  </si>
  <si>
    <t>Dev4, Ch 12</t>
  </si>
  <si>
    <t>Dev4, Ch 13</t>
  </si>
  <si>
    <t>Dev4, Ch 14</t>
  </si>
  <si>
    <t>Current Probe</t>
  </si>
  <si>
    <t>Current_Probe</t>
  </si>
  <si>
    <t>Dev4, Ch 15</t>
  </si>
  <si>
    <t>Amps</t>
  </si>
  <si>
    <t>Agilent N2782A current probe</t>
  </si>
  <si>
    <t>P0_(0-5_BAR)</t>
  </si>
  <si>
    <t>P0_CONTROL_IN</t>
  </si>
  <si>
    <t>Dev4, Ch 16</t>
  </si>
  <si>
    <t>bar g</t>
  </si>
  <si>
    <t>UNIK 5000  (4-20ma) 0-5 bar_a</t>
  </si>
  <si>
    <t>P1_(0-5_BAR)</t>
  </si>
  <si>
    <t>P1_PUMP_OT</t>
  </si>
  <si>
    <t>Dev4, Ch 17</t>
  </si>
  <si>
    <t>P2_(0-5_BAR)</t>
  </si>
  <si>
    <t>P2</t>
  </si>
  <si>
    <t>Dev4, Ch 18</t>
  </si>
  <si>
    <t>P3_(0-5_BAR)</t>
  </si>
  <si>
    <t>P3</t>
  </si>
  <si>
    <t>Dev4, Ch 19</t>
  </si>
  <si>
    <t xml:space="preserve"> </t>
  </si>
  <si>
    <t>P4_(0-5_BAR)</t>
  </si>
  <si>
    <t>P4</t>
  </si>
  <si>
    <t>Dev4, Ch 20</t>
  </si>
  <si>
    <t>P5_(0-10_BAR)</t>
  </si>
  <si>
    <t>P5</t>
  </si>
  <si>
    <t>Dev4, Ch 21</t>
  </si>
  <si>
    <t>UNIK 5000 (4-20 ma)  0-10 bar_a</t>
  </si>
  <si>
    <t>P6_(0-10_BAR)</t>
  </si>
  <si>
    <t>P6</t>
  </si>
  <si>
    <t>Dev4, Ch 22</t>
  </si>
  <si>
    <t>P7_(0-10_BAR)</t>
  </si>
  <si>
    <t>P7</t>
  </si>
  <si>
    <t>Dev4, Ch 23</t>
  </si>
  <si>
    <t>Dev4, Ch 24</t>
  </si>
  <si>
    <t>Hz/Volt</t>
  </si>
  <si>
    <t>RPM</t>
  </si>
  <si>
    <t>T22_A_RPM</t>
  </si>
  <si>
    <t>Dev4, Ch 25</t>
  </si>
  <si>
    <t>T22 Encoder signal A</t>
  </si>
  <si>
    <t>rev/block</t>
  </si>
  <si>
    <t>Hz/rev @ 1 rps</t>
  </si>
  <si>
    <t>TQ1</t>
  </si>
  <si>
    <t>T22_TQ1</t>
  </si>
  <si>
    <t>Dev4, Ch 26</t>
  </si>
  <si>
    <t>N·m</t>
  </si>
  <si>
    <t xml:space="preserve">T22 Interface </t>
  </si>
  <si>
    <t>rev/Volt-s</t>
  </si>
  <si>
    <t>F1</t>
  </si>
  <si>
    <t>Dev4, Ch 27</t>
  </si>
  <si>
    <t>gpm</t>
  </si>
  <si>
    <t>0-3.5 gpm Hoffer flowmeter</t>
  </si>
  <si>
    <t>rev/Volt-minute</t>
  </si>
  <si>
    <t>F2</t>
  </si>
  <si>
    <t>F2_PUMP_OT</t>
  </si>
  <si>
    <t>Dev4, Ch 28</t>
  </si>
  <si>
    <t>0-60 gpm Hoffer flowmeter</t>
  </si>
  <si>
    <t>Dev4, Ch 29</t>
  </si>
  <si>
    <t>Dev4, Ch 30</t>
  </si>
  <si>
    <t>Pulley ratio</t>
  </si>
  <si>
    <t>Dev4, Ch 31</t>
  </si>
  <si>
    <t>2Spd Drive Ratio</t>
  </si>
  <si>
    <t>T22 Encoder Frequency</t>
  </si>
  <si>
    <t>Dev4, PFI1</t>
  </si>
  <si>
    <t>rpm</t>
  </si>
  <si>
    <t>T22 encoder A-phase measured as frequency</t>
  </si>
  <si>
    <t>RPM Motor</t>
  </si>
  <si>
    <t>RPM_2SPD_OT</t>
  </si>
  <si>
    <t>V</t>
  </si>
  <si>
    <t>HS_STRAIN_LCF455_43</t>
  </si>
  <si>
    <t>HS_STRAIN_LCF455_42</t>
  </si>
  <si>
    <t>HS_2120_STRAIN_B_VOLTS</t>
  </si>
  <si>
    <t>HS_2120_EXC_B_VOLTS</t>
  </si>
  <si>
    <t>HS_2120_STRAIN_A_VOLTS</t>
  </si>
  <si>
    <t>quarter bridge strain gauge on gear post "A" side</t>
  </si>
  <si>
    <t>Excitation voltage to "B" side strain gauge</t>
  </si>
  <si>
    <t>Thermocouple - oil temperature from Omega TXDIN70</t>
  </si>
  <si>
    <t>quarter bridge strain gauge on gear post "B" side</t>
  </si>
  <si>
    <t>lbf</t>
  </si>
  <si>
    <t>HS_2210_EXC_VOLTS</t>
  </si>
  <si>
    <t>HS_LOADCELL_A_LBF</t>
  </si>
  <si>
    <t>HS_LOADCELL_B_LBF</t>
  </si>
  <si>
    <t>HS_LCF455_778042_LWR</t>
  </si>
  <si>
    <t>HS_LCF455_778043_UPR</t>
  </si>
  <si>
    <t>HS_LCF455_778042_A</t>
  </si>
  <si>
    <t>HS_LCF455_778043_B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</si>
</sst>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8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  <xf numFmtId="0" fontId="1" fillId="2" borderId="0" xfId="0" applyFont="1" applyFill="1"/>
    <xf numFmtId="164" fontId="1" fillId="2" borderId="0" xfId="0" applyNumberFormat="1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Fill="1"/>
    <xf numFmtId="0" fontId="0" fillId="2" borderId="0" xfId="0" applyFill="1"/>
    <xf numFmtId="164" fontId="0" fillId="2" borderId="0" xfId="0" applyNumberFormat="1" applyFill="1" applyAlignment="1">
      <alignment horizontal="center"/>
    </xf>
    <xf numFmtId="0" fontId="0" fillId="2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/>
    <xf numFmtId="164" fontId="0" fillId="0" borderId="0" xfId="0" applyNumberFormat="1" applyFont="1" applyFill="1"/>
    <xf numFmtId="0" fontId="0" fillId="0" borderId="0" xfId="0" applyFill="1" applyBorder="1"/>
    <xf numFmtId="0" fontId="0" fillId="2" borderId="0" xfId="0" applyFill="1" applyAlignment="1">
      <alignment horizontal="center"/>
    </xf>
    <xf numFmtId="164" fontId="0" fillId="2" borderId="0" xfId="0" applyNumberFormat="1" applyFont="1" applyFill="1" applyAlignment="1">
      <alignment horizontal="center"/>
    </xf>
    <xf numFmtId="0" fontId="0" fillId="0" borderId="0" xfId="0" applyFill="1" applyAlignment="1">
      <alignment horizontal="center"/>
    </xf>
    <xf numFmtId="2" fontId="0" fillId="0" borderId="0" xfId="0" applyNumberFormat="1" applyFill="1"/>
    <xf numFmtId="164" fontId="0" fillId="0" borderId="0" xfId="0" applyNumberFormat="1" applyFill="1" applyAlignment="1">
      <alignment horizontal="center"/>
    </xf>
    <xf numFmtId="164" fontId="0" fillId="0" borderId="0" xfId="0" applyNumberFormat="1" applyFont="1" applyFill="1" applyAlignment="1">
      <alignment horizontal="center"/>
    </xf>
    <xf numFmtId="0" fontId="0" fillId="0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D59"/>
  <sheetViews>
    <sheetView workbookViewId="0">
      <pane ySplit="2" topLeftCell="A3" activePane="bottomLeft" state="frozen"/>
      <selection pane="bottomLeft" activeCell="F3" sqref="F3"/>
    </sheetView>
  </sheetViews>
  <sheetFormatPr defaultRowHeight="15" x14ac:dyDescent="0.25"/>
  <cols>
    <col min="2" max="2" width="21.7109375" bestFit="1" customWidth="1"/>
    <col min="3" max="4" width="21.28515625" customWidth="1"/>
    <col min="5" max="5" width="11.5703125" bestFit="1" customWidth="1"/>
    <col min="6" max="6" width="7.42578125" customWidth="1"/>
    <col min="7" max="7" width="6.42578125" bestFit="1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17</v>
      </c>
      <c r="C3" s="8" t="s">
        <v>134</v>
      </c>
      <c r="D3" s="7"/>
      <c r="E3" s="7" t="s">
        <v>18</v>
      </c>
      <c r="F3" s="7" t="s">
        <v>19</v>
      </c>
      <c r="G3" s="7"/>
      <c r="H3" s="7" t="s">
        <v>20</v>
      </c>
      <c r="I3" s="7" t="s">
        <v>21</v>
      </c>
      <c r="J3" s="7"/>
      <c r="K3" s="9">
        <v>1</v>
      </c>
      <c r="L3" s="10" t="s">
        <v>133</v>
      </c>
      <c r="M3" s="9">
        <v>0</v>
      </c>
      <c r="N3" s="8" t="s">
        <v>22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25</v>
      </c>
      <c r="C4" s="8" t="s">
        <v>135</v>
      </c>
      <c r="D4" s="7"/>
      <c r="E4" s="7" t="s">
        <v>26</v>
      </c>
      <c r="F4" s="7" t="s">
        <v>27</v>
      </c>
      <c r="G4" s="7"/>
      <c r="H4" s="7" t="s">
        <v>20</v>
      </c>
      <c r="I4" s="7" t="s">
        <v>21</v>
      </c>
      <c r="J4" s="7"/>
      <c r="K4" s="9">
        <v>1</v>
      </c>
      <c r="L4" s="10" t="s">
        <v>133</v>
      </c>
      <c r="M4" s="9">
        <v>0</v>
      </c>
      <c r="N4" s="8" t="s">
        <v>22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29</v>
      </c>
      <c r="C5" s="8" t="s">
        <v>30</v>
      </c>
      <c r="D5" s="7"/>
      <c r="E5" s="7" t="s">
        <v>31</v>
      </c>
      <c r="F5" s="7" t="s">
        <v>32</v>
      </c>
      <c r="G5" s="7"/>
      <c r="H5" s="7" t="s">
        <v>20</v>
      </c>
      <c r="I5" s="7" t="s">
        <v>21</v>
      </c>
      <c r="J5" s="12"/>
      <c r="K5" s="9">
        <v>1</v>
      </c>
      <c r="L5" s="10" t="s">
        <v>133</v>
      </c>
      <c r="M5" s="9">
        <v>0</v>
      </c>
      <c r="N5" s="8" t="s">
        <v>33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35</v>
      </c>
      <c r="C6" s="8" t="s">
        <v>36</v>
      </c>
      <c r="D6" s="7"/>
      <c r="E6" s="7" t="s">
        <v>37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39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41</v>
      </c>
      <c r="C7" s="8" t="s">
        <v>41</v>
      </c>
      <c r="D7" s="7"/>
      <c r="E7" s="7" t="s">
        <v>42</v>
      </c>
      <c r="F7" s="7"/>
      <c r="G7" s="7"/>
      <c r="H7" s="7" t="s">
        <v>20</v>
      </c>
      <c r="I7" s="7" t="s">
        <v>21</v>
      </c>
      <c r="J7" s="7"/>
      <c r="K7" s="9">
        <v>240</v>
      </c>
      <c r="L7" s="10" t="s">
        <v>43</v>
      </c>
      <c r="M7" s="9">
        <v>0</v>
      </c>
      <c r="N7" s="8" t="s">
        <v>44</v>
      </c>
      <c r="O7" s="7"/>
      <c r="P7" s="7"/>
      <c r="Q7" s="7"/>
      <c r="R7" s="7"/>
      <c r="AA7" s="7"/>
      <c r="AB7" s="7"/>
    </row>
    <row r="8" spans="1:28" x14ac:dyDescent="0.25">
      <c r="A8" s="7">
        <v>5</v>
      </c>
      <c r="B8" s="7" t="s">
        <v>45</v>
      </c>
      <c r="C8" s="8" t="s">
        <v>45</v>
      </c>
      <c r="D8" s="7"/>
      <c r="E8" s="7" t="s">
        <v>46</v>
      </c>
      <c r="F8" s="7"/>
      <c r="G8" s="7"/>
      <c r="H8" s="7" t="s">
        <v>20</v>
      </c>
      <c r="I8" s="7" t="s">
        <v>21</v>
      </c>
      <c r="J8" s="7"/>
      <c r="K8" s="9">
        <v>240</v>
      </c>
      <c r="L8" s="10" t="s">
        <v>43</v>
      </c>
      <c r="M8" s="9">
        <v>0</v>
      </c>
      <c r="N8" s="8" t="s">
        <v>44</v>
      </c>
      <c r="O8" s="7"/>
      <c r="AA8" s="7"/>
      <c r="AB8" s="7"/>
    </row>
    <row r="9" spans="1:28" x14ac:dyDescent="0.25">
      <c r="A9" s="7">
        <v>6</v>
      </c>
      <c r="B9" s="7" t="s">
        <v>47</v>
      </c>
      <c r="C9" s="8" t="s">
        <v>47</v>
      </c>
      <c r="D9" s="7"/>
      <c r="E9" s="7" t="s">
        <v>48</v>
      </c>
      <c r="F9" s="7"/>
      <c r="G9" s="7"/>
      <c r="H9" s="7" t="s">
        <v>20</v>
      </c>
      <c r="I9" s="7" t="s">
        <v>21</v>
      </c>
      <c r="J9" s="7"/>
      <c r="K9" s="9">
        <v>240</v>
      </c>
      <c r="L9" s="10" t="s">
        <v>43</v>
      </c>
      <c r="M9" s="9">
        <v>0</v>
      </c>
      <c r="N9" s="8" t="s">
        <v>44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50</v>
      </c>
      <c r="C10" s="8" t="s">
        <v>50</v>
      </c>
      <c r="D10" s="7"/>
      <c r="E10" s="7" t="s">
        <v>51</v>
      </c>
      <c r="F10" s="7"/>
      <c r="G10" s="7"/>
      <c r="H10" s="7" t="s">
        <v>20</v>
      </c>
      <c r="I10" s="7" t="s">
        <v>21</v>
      </c>
      <c r="J10" s="7"/>
      <c r="K10" s="9">
        <v>240</v>
      </c>
      <c r="L10" s="10" t="s">
        <v>43</v>
      </c>
      <c r="M10" s="9">
        <v>0</v>
      </c>
      <c r="N10" s="8" t="s">
        <v>44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AD59"/>
  <sheetViews>
    <sheetView workbookViewId="0">
      <pane ySplit="2" topLeftCell="A3" activePane="bottomLeft" state="frozen"/>
      <selection pane="bottomLeft" activeCell="M5" sqref="M5"/>
    </sheetView>
  </sheetViews>
  <sheetFormatPr defaultRowHeight="15" x14ac:dyDescent="0.25"/>
  <cols>
    <col min="2" max="3" width="25" bestFit="1" customWidth="1"/>
    <col min="4" max="4" width="21.28515625" customWidth="1"/>
    <col min="5" max="5" width="11.5703125" bestFit="1" customWidth="1"/>
    <col min="6" max="6" width="7.42578125" customWidth="1"/>
    <col min="7" max="7" width="6.42578125" bestFit="1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145</v>
      </c>
      <c r="C3" s="8" t="s">
        <v>147</v>
      </c>
      <c r="D3" s="7"/>
      <c r="E3" s="7" t="s">
        <v>18</v>
      </c>
      <c r="F3" s="7" t="s">
        <v>19</v>
      </c>
      <c r="G3" s="7"/>
      <c r="H3" s="7" t="s">
        <v>20</v>
      </c>
      <c r="I3" s="7" t="s">
        <v>21</v>
      </c>
      <c r="J3" s="7"/>
      <c r="K3" s="9">
        <v>200</v>
      </c>
      <c r="L3" s="10" t="s">
        <v>143</v>
      </c>
      <c r="M3" s="9">
        <v>0</v>
      </c>
      <c r="N3" s="8" t="s">
        <v>139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146</v>
      </c>
      <c r="C4" s="8" t="s">
        <v>148</v>
      </c>
      <c r="D4" s="7"/>
      <c r="E4" s="7" t="s">
        <v>26</v>
      </c>
      <c r="F4" s="7" t="s">
        <v>27</v>
      </c>
      <c r="G4" s="7"/>
      <c r="H4" s="7" t="s">
        <v>20</v>
      </c>
      <c r="I4" s="7" t="s">
        <v>21</v>
      </c>
      <c r="J4" s="7"/>
      <c r="K4" s="9">
        <v>200</v>
      </c>
      <c r="L4" s="10" t="s">
        <v>143</v>
      </c>
      <c r="M4" s="9">
        <v>0</v>
      </c>
      <c r="N4" s="8" t="s">
        <v>141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138</v>
      </c>
      <c r="C5" s="8" t="s">
        <v>138</v>
      </c>
      <c r="D5" s="7"/>
      <c r="E5" s="7" t="s">
        <v>31</v>
      </c>
      <c r="F5" s="7" t="s">
        <v>32</v>
      </c>
      <c r="G5" s="7"/>
      <c r="H5" s="7" t="s">
        <v>20</v>
      </c>
      <c r="I5" s="7" t="s">
        <v>21</v>
      </c>
      <c r="J5" s="12"/>
      <c r="K5" s="9">
        <v>1</v>
      </c>
      <c r="L5" s="10" t="s">
        <v>133</v>
      </c>
      <c r="M5" s="9">
        <v>0</v>
      </c>
      <c r="N5" s="8" t="s">
        <v>139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137</v>
      </c>
      <c r="C6" s="8" t="s">
        <v>144</v>
      </c>
      <c r="D6" s="7"/>
      <c r="E6" s="7" t="s">
        <v>37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140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136</v>
      </c>
      <c r="C7" s="8" t="s">
        <v>136</v>
      </c>
      <c r="D7" s="7"/>
      <c r="E7" s="7" t="s">
        <v>42</v>
      </c>
      <c r="F7" s="7"/>
      <c r="G7" s="7"/>
      <c r="H7" s="7" t="s">
        <v>20</v>
      </c>
      <c r="I7" s="7" t="s">
        <v>21</v>
      </c>
      <c r="J7" s="7"/>
      <c r="K7" s="9">
        <v>1</v>
      </c>
      <c r="L7" s="10" t="s">
        <v>133</v>
      </c>
      <c r="M7" s="9">
        <v>0</v>
      </c>
      <c r="N7" s="8" t="s">
        <v>142</v>
      </c>
      <c r="O7" s="7"/>
      <c r="P7" s="7"/>
      <c r="Q7" s="7"/>
      <c r="R7" s="7"/>
      <c r="AA7" s="7"/>
      <c r="AB7" s="7"/>
    </row>
    <row r="8" spans="1:28" x14ac:dyDescent="0.25">
      <c r="A8" s="7">
        <v>5</v>
      </c>
      <c r="B8" s="7" t="s">
        <v>45</v>
      </c>
      <c r="C8" s="8" t="s">
        <v>45</v>
      </c>
      <c r="D8" s="7"/>
      <c r="E8" s="7" t="s">
        <v>46</v>
      </c>
      <c r="F8" s="7"/>
      <c r="G8" s="7"/>
      <c r="H8" s="7" t="s">
        <v>20</v>
      </c>
      <c r="I8" s="7" t="s">
        <v>21</v>
      </c>
      <c r="J8" s="7"/>
      <c r="K8" s="9">
        <v>240</v>
      </c>
      <c r="L8" s="10" t="s">
        <v>43</v>
      </c>
      <c r="M8" s="9">
        <v>0</v>
      </c>
      <c r="N8" s="8" t="s">
        <v>44</v>
      </c>
      <c r="O8" s="7"/>
      <c r="AA8" s="7"/>
      <c r="AB8" s="7"/>
    </row>
    <row r="9" spans="1:28" x14ac:dyDescent="0.25">
      <c r="A9" s="7">
        <v>6</v>
      </c>
      <c r="B9" s="7" t="s">
        <v>47</v>
      </c>
      <c r="C9" s="8" t="s">
        <v>47</v>
      </c>
      <c r="D9" s="7"/>
      <c r="E9" s="7" t="s">
        <v>48</v>
      </c>
      <c r="F9" s="7"/>
      <c r="G9" s="7"/>
      <c r="H9" s="7" t="s">
        <v>20</v>
      </c>
      <c r="I9" s="7" t="s">
        <v>21</v>
      </c>
      <c r="J9" s="7"/>
      <c r="K9" s="9">
        <v>240</v>
      </c>
      <c r="L9" s="10" t="s">
        <v>43</v>
      </c>
      <c r="M9" s="9">
        <v>0</v>
      </c>
      <c r="N9" s="8" t="s">
        <v>44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50</v>
      </c>
      <c r="C10" s="8" t="s">
        <v>50</v>
      </c>
      <c r="D10" s="7"/>
      <c r="E10" s="7" t="s">
        <v>51</v>
      </c>
      <c r="F10" s="7"/>
      <c r="G10" s="7"/>
      <c r="H10" s="7" t="s">
        <v>20</v>
      </c>
      <c r="I10" s="7" t="s">
        <v>21</v>
      </c>
      <c r="J10" s="7"/>
      <c r="K10" s="9">
        <v>240</v>
      </c>
      <c r="L10" s="10" t="s">
        <v>43</v>
      </c>
      <c r="M10" s="9">
        <v>0</v>
      </c>
      <c r="N10" s="8" t="s">
        <v>44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AD59"/>
  <sheetViews>
    <sheetView tabSelected="1" workbookViewId="0">
      <pane ySplit="2" topLeftCell="A3" activePane="bottomLeft" state="frozen"/>
      <selection pane="bottomLeft" activeCell="A7" sqref="A7"/>
    </sheetView>
  </sheetViews>
  <sheetFormatPr defaultRowHeight="15" x14ac:dyDescent="0.25"/>
  <cols>
    <col min="2" max="3" width="25" bestFit="1" customWidth="1"/>
    <col min="4" max="4" width="21.28515625" customWidth="1"/>
    <col min="5" max="5" width="11.5703125" bestFit="1" customWidth="1"/>
    <col min="6" max="6" width="7.42578125" customWidth="1"/>
    <col min="7" max="7" width="6.42578125" bestFit="1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145</v>
      </c>
      <c r="C3" s="8" t="s">
        <v>149</v>
      </c>
      <c r="D3" s="7"/>
      <c r="E3" s="7" t="s">
        <v>18</v>
      </c>
      <c r="F3" s="7" t="s">
        <v>19</v>
      </c>
      <c r="G3" s="7"/>
      <c r="H3" s="7" t="s">
        <v>20</v>
      </c>
      <c r="I3" s="7" t="s">
        <v>21</v>
      </c>
      <c r="J3" s="7"/>
      <c r="K3" s="9">
        <f>200*(1/1.0194)</f>
        <v>196.19383951343929</v>
      </c>
      <c r="L3" s="10" t="s">
        <v>143</v>
      </c>
      <c r="M3" s="9">
        <v>0.19950000000000001</v>
      </c>
      <c r="N3" s="8" t="s">
        <v>139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146</v>
      </c>
      <c r="C4" s="8" t="s">
        <v>150</v>
      </c>
      <c r="D4" s="7"/>
      <c r="E4" s="7" t="s">
        <v>26</v>
      </c>
      <c r="F4" s="7" t="s">
        <v>27</v>
      </c>
      <c r="G4" s="7"/>
      <c r="H4" s="7" t="s">
        <v>20</v>
      </c>
      <c r="I4" s="7" t="s">
        <v>21</v>
      </c>
      <c r="J4" s="7"/>
      <c r="K4" s="9">
        <f>200*(1/1.0214)</f>
        <v>195.80967299784609</v>
      </c>
      <c r="L4" s="10" t="s">
        <v>143</v>
      </c>
      <c r="M4" s="9">
        <f>0.2737</f>
        <v>0.2737</v>
      </c>
      <c r="N4" s="8" t="s">
        <v>141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138</v>
      </c>
      <c r="C5" s="8" t="s">
        <v>138</v>
      </c>
      <c r="D5" s="7"/>
      <c r="E5" s="7" t="s">
        <v>31</v>
      </c>
      <c r="F5" s="7" t="s">
        <v>32</v>
      </c>
      <c r="G5" s="7"/>
      <c r="H5" s="7" t="s">
        <v>20</v>
      </c>
      <c r="I5" s="7" t="s">
        <v>21</v>
      </c>
      <c r="J5" s="12"/>
      <c r="K5" s="9">
        <v>1</v>
      </c>
      <c r="L5" s="10" t="s">
        <v>133</v>
      </c>
      <c r="M5" s="9">
        <v>0</v>
      </c>
      <c r="N5" s="8" t="s">
        <v>139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137</v>
      </c>
      <c r="C6" s="8" t="s">
        <v>144</v>
      </c>
      <c r="D6" s="7"/>
      <c r="E6" s="7" t="s">
        <v>37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140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136</v>
      </c>
      <c r="C7" s="8" t="s">
        <v>136</v>
      </c>
      <c r="D7" s="7"/>
      <c r="E7" s="7" t="s">
        <v>42</v>
      </c>
      <c r="F7" s="7"/>
      <c r="G7" s="7"/>
      <c r="H7" s="7" t="s">
        <v>20</v>
      </c>
      <c r="I7" s="7" t="s">
        <v>21</v>
      </c>
      <c r="J7" s="7"/>
      <c r="K7" s="9">
        <v>1</v>
      </c>
      <c r="L7" s="10" t="s">
        <v>133</v>
      </c>
      <c r="M7" s="9">
        <v>0</v>
      </c>
      <c r="N7" s="8" t="s">
        <v>142</v>
      </c>
      <c r="O7" s="7"/>
      <c r="P7" s="7"/>
      <c r="Q7" s="7"/>
      <c r="R7" s="7"/>
      <c r="AA7" s="7"/>
      <c r="AB7" s="7"/>
    </row>
    <row r="8" spans="1:28" x14ac:dyDescent="0.25">
      <c r="A8" s="7">
        <v>5</v>
      </c>
      <c r="B8" s="7" t="s">
        <v>45</v>
      </c>
      <c r="C8" s="8" t="s">
        <v>45</v>
      </c>
      <c r="D8" s="7"/>
      <c r="E8" s="7" t="s">
        <v>46</v>
      </c>
      <c r="F8" s="7"/>
      <c r="G8" s="7"/>
      <c r="H8" s="7" t="s">
        <v>20</v>
      </c>
      <c r="I8" s="7" t="s">
        <v>21</v>
      </c>
      <c r="J8" s="7"/>
      <c r="K8" s="9">
        <v>240</v>
      </c>
      <c r="L8" s="10" t="s">
        <v>43</v>
      </c>
      <c r="M8" s="9">
        <v>0</v>
      </c>
      <c r="N8" s="8" t="s">
        <v>44</v>
      </c>
      <c r="O8" s="7"/>
      <c r="AA8" s="7"/>
      <c r="AB8" s="7"/>
    </row>
    <row r="9" spans="1:28" x14ac:dyDescent="0.25">
      <c r="A9" s="7">
        <v>6</v>
      </c>
      <c r="B9" s="7" t="s">
        <v>47</v>
      </c>
      <c r="C9" s="8" t="s">
        <v>47</v>
      </c>
      <c r="D9" s="7"/>
      <c r="E9" s="7" t="s">
        <v>48</v>
      </c>
      <c r="F9" s="7"/>
      <c r="G9" s="7"/>
      <c r="H9" s="7" t="s">
        <v>20</v>
      </c>
      <c r="I9" s="7" t="s">
        <v>21</v>
      </c>
      <c r="J9" s="7"/>
      <c r="K9" s="9">
        <v>240</v>
      </c>
      <c r="L9" s="10" t="s">
        <v>43</v>
      </c>
      <c r="M9" s="9">
        <v>0</v>
      </c>
      <c r="N9" s="8" t="s">
        <v>44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50</v>
      </c>
      <c r="C10" s="8" t="s">
        <v>50</v>
      </c>
      <c r="D10" s="7"/>
      <c r="E10" s="7" t="s">
        <v>51</v>
      </c>
      <c r="F10" s="7"/>
      <c r="G10" s="7"/>
      <c r="H10" s="7" t="s">
        <v>20</v>
      </c>
      <c r="I10" s="7" t="s">
        <v>21</v>
      </c>
      <c r="J10" s="7"/>
      <c r="K10" s="9">
        <v>240</v>
      </c>
      <c r="L10" s="10" t="s">
        <v>43</v>
      </c>
      <c r="M10" s="9">
        <v>0</v>
      </c>
      <c r="N10" s="8" t="s">
        <v>44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ChanCfg</vt:lpstr>
      <vt:lpstr>ChanCfg (2)</vt:lpstr>
      <vt:lpstr>ChanCfg v200908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Pesko</dc:creator>
  <cp:lastModifiedBy>Fuel Lab</cp:lastModifiedBy>
  <dcterms:created xsi:type="dcterms:W3CDTF">2019-06-27T21:22:09Z</dcterms:created>
  <dcterms:modified xsi:type="dcterms:W3CDTF">2020-09-08T19:05:44Z</dcterms:modified>
</cp:coreProperties>
</file>
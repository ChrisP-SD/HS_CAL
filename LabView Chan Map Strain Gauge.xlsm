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705" windowWidth="19545" windowHeight="7470" activeTab="4"/>
  </bookViews>
  <sheets>
    <sheet name="ChanCfg" sheetId="1" r:id="rId1"/>
    <sheet name="ChanCfg (2)" sheetId="2" r:id="rId2"/>
    <sheet name="ChanCfg v200908" sheetId="3" r:id="rId3"/>
    <sheet name="ChanCfg v200909" sheetId="4" r:id="rId4"/>
    <sheet name="ChanCfg v200909_B" sheetId="5" r:id="rId5"/>
  </sheets>
  <calcPr calcId="145621"/>
</workbook>
</file>

<file path=xl/calcChain.xml><?xml version="1.0" encoding="utf-8"?>
<calcChain xmlns="http://schemas.openxmlformats.org/spreadsheetml/2006/main">
  <c r="K4" i="5" l="1"/>
  <c r="K3" i="5"/>
  <c r="AB38" i="5" l="1"/>
  <c r="AB37" i="5"/>
  <c r="K35" i="5"/>
  <c r="AB34" i="5"/>
  <c r="D31" i="5"/>
  <c r="AC29" i="5"/>
  <c r="AC30" i="5" s="1"/>
  <c r="AA27" i="5"/>
  <c r="U13" i="5"/>
  <c r="U14" i="5" s="1"/>
  <c r="U12" i="5"/>
  <c r="M10" i="5"/>
  <c r="M9" i="5"/>
  <c r="AB38" i="4" l="1"/>
  <c r="K35" i="4"/>
  <c r="AB34" i="4"/>
  <c r="AB37" i="4" s="1"/>
  <c r="D31" i="4"/>
  <c r="AC29" i="4"/>
  <c r="AC30" i="4" s="1"/>
  <c r="AA27" i="4"/>
  <c r="U12" i="4"/>
  <c r="U13" i="4" s="1"/>
  <c r="U14" i="4" s="1"/>
  <c r="M10" i="4"/>
  <c r="M9" i="4"/>
  <c r="M9" i="3" l="1"/>
  <c r="M10" i="3"/>
  <c r="AB38" i="3" l="1"/>
  <c r="K35" i="3"/>
  <c r="AB34" i="3"/>
  <c r="AB37" i="3" s="1"/>
  <c r="D31" i="3"/>
  <c r="AC29" i="3"/>
  <c r="AC30" i="3" s="1"/>
  <c r="AA27" i="3"/>
  <c r="U12" i="3"/>
  <c r="U13" i="3" s="1"/>
  <c r="U14" i="3" s="1"/>
  <c r="M4" i="3"/>
  <c r="K4" i="3"/>
  <c r="K3" i="3"/>
  <c r="AB38" i="2" l="1"/>
  <c r="K35" i="2"/>
  <c r="AB34" i="2"/>
  <c r="AB37" i="2" s="1"/>
  <c r="D31" i="2"/>
  <c r="AC29" i="2"/>
  <c r="AC30" i="2" s="1"/>
  <c r="AA27" i="2"/>
  <c r="U12" i="2"/>
  <c r="U13" i="2" s="1"/>
  <c r="U14" i="2" s="1"/>
  <c r="AB38" i="1" l="1"/>
  <c r="K35" i="1"/>
  <c r="AB34" i="1"/>
  <c r="AB37" i="1" s="1"/>
  <c r="D31" i="1"/>
  <c r="AC29" i="1"/>
  <c r="AC30" i="1" s="1"/>
  <c r="AA27" i="1"/>
  <c r="U12" i="1"/>
  <c r="U13" i="1" s="1"/>
  <c r="U14" i="1" s="1"/>
</calcChain>
</file>

<file path=xl/sharedStrings.xml><?xml version="1.0" encoding="utf-8"?>
<sst xmlns="http://schemas.openxmlformats.org/spreadsheetml/2006/main" count="1210" uniqueCount="166">
  <si>
    <t>Revisions</t>
  </si>
  <si>
    <t>BNC Jack</t>
  </si>
  <si>
    <t>LabView Name</t>
  </si>
  <si>
    <t>Verbose Name</t>
  </si>
  <si>
    <t>Kistler SCP Assignment</t>
  </si>
  <si>
    <t>PXI Channel</t>
  </si>
  <si>
    <t>Color</t>
  </si>
  <si>
    <t>Range</t>
  </si>
  <si>
    <t>Voltage Divided?</t>
  </si>
  <si>
    <t>Sample Rate</t>
  </si>
  <si>
    <t>Sensor SN</t>
  </si>
  <si>
    <t>Sensitivity</t>
  </si>
  <si>
    <t>Units</t>
  </si>
  <si>
    <t>Offset</t>
  </si>
  <si>
    <t>Description</t>
  </si>
  <si>
    <t>Barometer</t>
  </si>
  <si>
    <t>v180406 updated channel name of "HS_61" to "RPM_2SPD_OT_6602"</t>
  </si>
  <si>
    <t>T0</t>
  </si>
  <si>
    <t>Dev4, Ch 0</t>
  </si>
  <si>
    <t>red</t>
  </si>
  <si>
    <t>No</t>
  </si>
  <si>
    <t>10 Hz</t>
  </si>
  <si>
    <t>quarter bridge strain gauge on gear post</t>
  </si>
  <si>
    <t>bar a</t>
  </si>
  <si>
    <t>v181025 using channel map to build LabView waveforms for Orthrus oil pump performance testing</t>
  </si>
  <si>
    <t>T1_OIL_OT</t>
  </si>
  <si>
    <t>Dev4, Ch 1</t>
  </si>
  <si>
    <t>white</t>
  </si>
  <si>
    <t>v181101 recalibrating the 6 pressure transducers in use.  Original calibration using the 5.37 volt power supply was giving different output from Honeywell sensors than the 5.00 volt supplied by the ECU.</t>
  </si>
  <si>
    <t>T2</t>
  </si>
  <si>
    <t>HS_STRAIN_LOAD_A</t>
  </si>
  <si>
    <t>Dev4, Ch 2</t>
  </si>
  <si>
    <t>green</t>
  </si>
  <si>
    <t>pancake load cell A</t>
  </si>
  <si>
    <t>v190220 changing Dev2/Chn0 back to an RPM for Magnum oil flow test.</t>
  </si>
  <si>
    <t>T3</t>
  </si>
  <si>
    <t>HS_STRAIN_LOAD_B</t>
  </si>
  <si>
    <t>Dev4, Ch 3</t>
  </si>
  <si>
    <t>blue</t>
  </si>
  <si>
    <t>pancake load cell B</t>
  </si>
  <si>
    <t xml:space="preserve">v190403 All channels ran through dev3 (NI N6229) Temps and Pressures added, flows reconfigured </t>
  </si>
  <si>
    <t>T4</t>
  </si>
  <si>
    <t>Dev4, Ch 4</t>
  </si>
  <si>
    <t>°C</t>
  </si>
  <si>
    <t>Thermocople</t>
  </si>
  <si>
    <t>T5</t>
  </si>
  <si>
    <t>Dev4, Ch 5</t>
  </si>
  <si>
    <t>T6</t>
  </si>
  <si>
    <t>Dev4, Ch 6</t>
  </si>
  <si>
    <t>pulses per second per volt</t>
  </si>
  <si>
    <t>T7</t>
  </si>
  <si>
    <t>Dev4, Ch 7</t>
  </si>
  <si>
    <t>PPR</t>
  </si>
  <si>
    <t>RPM_2SPD_IN_FV</t>
  </si>
  <si>
    <t>Open</t>
  </si>
  <si>
    <t>Dev4, Ch 8</t>
  </si>
  <si>
    <t>RPM_2SPD_OT_FV</t>
  </si>
  <si>
    <t>Dev4, Ch 9</t>
  </si>
  <si>
    <t>Volt/RPS</t>
  </si>
  <si>
    <t>Dev4, Ch 10</t>
  </si>
  <si>
    <t>Volt/RPM</t>
  </si>
  <si>
    <t>Dev4, Ch 11</t>
  </si>
  <si>
    <t>RPM/Volt</t>
  </si>
  <si>
    <t>Dev4, Ch 12</t>
  </si>
  <si>
    <t>Dev4, Ch 13</t>
  </si>
  <si>
    <t>Dev4, Ch 14</t>
  </si>
  <si>
    <t>Current Probe</t>
  </si>
  <si>
    <t>Current_Probe</t>
  </si>
  <si>
    <t>Dev4, Ch 15</t>
  </si>
  <si>
    <t>Amps</t>
  </si>
  <si>
    <t>Agilent N2782A current probe</t>
  </si>
  <si>
    <t>P0_(0-5_BAR)</t>
  </si>
  <si>
    <t>P0_CONTROL_IN</t>
  </si>
  <si>
    <t>Dev4, Ch 16</t>
  </si>
  <si>
    <t>bar g</t>
  </si>
  <si>
    <t>UNIK 5000  (4-20ma) 0-5 bar_a</t>
  </si>
  <si>
    <t>P1_(0-5_BAR)</t>
  </si>
  <si>
    <t>P1_PUMP_OT</t>
  </si>
  <si>
    <t>Dev4, Ch 17</t>
  </si>
  <si>
    <t>P2_(0-5_BAR)</t>
  </si>
  <si>
    <t>P2</t>
  </si>
  <si>
    <t>Dev4, Ch 18</t>
  </si>
  <si>
    <t>P3_(0-5_BAR)</t>
  </si>
  <si>
    <t>P3</t>
  </si>
  <si>
    <t>Dev4, Ch 19</t>
  </si>
  <si>
    <t xml:space="preserve"> </t>
  </si>
  <si>
    <t>P4_(0-5_BAR)</t>
  </si>
  <si>
    <t>P4</t>
  </si>
  <si>
    <t>Dev4, Ch 20</t>
  </si>
  <si>
    <t>P5_(0-10_BAR)</t>
  </si>
  <si>
    <t>P5</t>
  </si>
  <si>
    <t>Dev4, Ch 21</t>
  </si>
  <si>
    <t>UNIK 5000 (4-20 ma)  0-10 bar_a</t>
  </si>
  <si>
    <t>P6_(0-10_BAR)</t>
  </si>
  <si>
    <t>P6</t>
  </si>
  <si>
    <t>Dev4, Ch 22</t>
  </si>
  <si>
    <t>P7_(0-10_BAR)</t>
  </si>
  <si>
    <t>P7</t>
  </si>
  <si>
    <t>Dev4, Ch 23</t>
  </si>
  <si>
    <t>Dev4, Ch 24</t>
  </si>
  <si>
    <t>Hz/Volt</t>
  </si>
  <si>
    <t>RPM</t>
  </si>
  <si>
    <t>T22_A_RPM</t>
  </si>
  <si>
    <t>Dev4, Ch 25</t>
  </si>
  <si>
    <t>T22 Encoder signal A</t>
  </si>
  <si>
    <t>rev/block</t>
  </si>
  <si>
    <t>Hz/rev @ 1 rps</t>
  </si>
  <si>
    <t>TQ1</t>
  </si>
  <si>
    <t>T22_TQ1</t>
  </si>
  <si>
    <t>Dev4, Ch 26</t>
  </si>
  <si>
    <t>N·m</t>
  </si>
  <si>
    <t xml:space="preserve">T22 Interface </t>
  </si>
  <si>
    <t>rev/Volt-s</t>
  </si>
  <si>
    <t>F1</t>
  </si>
  <si>
    <t>Dev4, Ch 27</t>
  </si>
  <si>
    <t>gpm</t>
  </si>
  <si>
    <t>0-3.5 gpm Hoffer flowmeter</t>
  </si>
  <si>
    <t>rev/Volt-minute</t>
  </si>
  <si>
    <t>F2</t>
  </si>
  <si>
    <t>F2_PUMP_OT</t>
  </si>
  <si>
    <t>Dev4, Ch 28</t>
  </si>
  <si>
    <t>0-60 gpm Hoffer flowmeter</t>
  </si>
  <si>
    <t>Dev4, Ch 29</t>
  </si>
  <si>
    <t>Dev4, Ch 30</t>
  </si>
  <si>
    <t>Pulley ratio</t>
  </si>
  <si>
    <t>Dev4, Ch 31</t>
  </si>
  <si>
    <t>2Spd Drive Ratio</t>
  </si>
  <si>
    <t>T22 Encoder Frequency</t>
  </si>
  <si>
    <t>Dev4, PFI1</t>
  </si>
  <si>
    <t>rpm</t>
  </si>
  <si>
    <t>T22 encoder A-phase measured as frequency</t>
  </si>
  <si>
    <t>RPM Motor</t>
  </si>
  <si>
    <t>RPM_2SPD_OT</t>
  </si>
  <si>
    <t>V</t>
  </si>
  <si>
    <t>HS_STRAIN_LCF455_43</t>
  </si>
  <si>
    <t>HS_STRAIN_LCF455_42</t>
  </si>
  <si>
    <t>HS_2120_STRAIN_B_VOLTS</t>
  </si>
  <si>
    <t>HS_2120_EXC_B_VOLTS</t>
  </si>
  <si>
    <t>HS_2120_STRAIN_A_VOLTS</t>
  </si>
  <si>
    <t>quarter bridge strain gauge on gear post "A" side</t>
  </si>
  <si>
    <t>Excitation voltage to "B" side strain gauge</t>
  </si>
  <si>
    <t>Thermocouple - oil temperature from Omega TXDIN70</t>
  </si>
  <si>
    <t>quarter bridge strain gauge on gear post "B" side</t>
  </si>
  <si>
    <t>lbf</t>
  </si>
  <si>
    <t>HS_2210_EXC_VOLTS</t>
  </si>
  <si>
    <t>HS_LOADCELL_A_LBF</t>
  </si>
  <si>
    <t>HS_LOADCELL_B_LBF</t>
  </si>
  <si>
    <t>HS_LCF455_778042_LWR</t>
  </si>
  <si>
    <t>HS_LCF455_778043_UPR</t>
  </si>
  <si>
    <t>HS_LCF455_778042_A</t>
  </si>
  <si>
    <t>HS_LCF455_778043_B</t>
  </si>
  <si>
    <t>HS_TRQ_EXH_CRNK_OT</t>
  </si>
  <si>
    <t>HS_STRAIN_POST_A</t>
  </si>
  <si>
    <t>HS_STRAIN_POST_B</t>
  </si>
  <si>
    <t>µε</t>
  </si>
  <si>
    <t>HS_Vexc_2210</t>
  </si>
  <si>
    <t>v200909 channels for Magnum gear tooth strain measurement calibration rig</t>
  </si>
  <si>
    <t>Magnum idler gear tooth "B" strain, measured by TECAT Wiser 8k</t>
  </si>
  <si>
    <t>Magnum idler gear tooth "A" strain, measured by TECAT Wiser 8k</t>
  </si>
  <si>
    <t>HS_STRAIN_IDLR_TOOTH_A</t>
  </si>
  <si>
    <t>HS_STRAIN_IDLR_TOOTH_B</t>
  </si>
  <si>
    <t>Re-scaling in VI through 2nd order equation from Hitec.  Reduced output by .284% per Ryan Fisk.</t>
  </si>
  <si>
    <t>v200909_B moving the load cells to the 2120B amplifiers since Vexc drifted on the 2210 amplifiers.</t>
  </si>
  <si>
    <t>Load cell on driver's left of engine</t>
  </si>
  <si>
    <t>Load cell on driver's right of engine</t>
  </si>
  <si>
    <t>HS_Vexc_2120B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</si>
</sst>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0" fontId="0" fillId="2" borderId="0" xfId="0" applyFill="1"/>
    <xf numFmtId="164" fontId="0" fillId="2" borderId="0" xfId="0" applyNumberForma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/>
    <xf numFmtId="164" fontId="0" fillId="0" borderId="0" xfId="0" applyNumberFormat="1" applyFont="1" applyFill="1"/>
    <xf numFmtId="0" fontId="0" fillId="0" borderId="0" xfId="0" applyFill="1" applyBorder="1"/>
    <xf numFmtId="0" fontId="0" fillId="2" borderId="0" xfId="0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0</xdr:row>
          <xdr:rowOff>19050</xdr:rowOff>
        </xdr:from>
        <xdr:to>
          <xdr:col>4</xdr:col>
          <xdr:colOff>361950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</a:rPr>
                <a:t>Save ChnCfg.txt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D59"/>
  <sheetViews>
    <sheetView workbookViewId="0">
      <pane ySplit="2" topLeftCell="A3" activePane="bottomLeft" state="frozen"/>
      <selection pane="bottomLeft" activeCell="F3" sqref="F3"/>
    </sheetView>
  </sheetViews>
  <sheetFormatPr defaultRowHeight="15" x14ac:dyDescent="0.25"/>
  <cols>
    <col min="2" max="2" width="21.7109375" bestFit="1" customWidth="1"/>
    <col min="3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17</v>
      </c>
      <c r="C3" s="8" t="s">
        <v>134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1</v>
      </c>
      <c r="L3" s="10" t="s">
        <v>133</v>
      </c>
      <c r="M3" s="9">
        <v>0</v>
      </c>
      <c r="N3" s="8" t="s">
        <v>22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25</v>
      </c>
      <c r="C4" s="8" t="s">
        <v>135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1</v>
      </c>
      <c r="L4" s="10" t="s">
        <v>133</v>
      </c>
      <c r="M4" s="9">
        <v>0</v>
      </c>
      <c r="N4" s="8" t="s">
        <v>22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29</v>
      </c>
      <c r="C5" s="8" t="s">
        <v>30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33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35</v>
      </c>
      <c r="C6" s="8" t="s">
        <v>36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39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41</v>
      </c>
      <c r="C7" s="8" t="s">
        <v>41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240</v>
      </c>
      <c r="L7" s="10" t="s">
        <v>43</v>
      </c>
      <c r="M7" s="9">
        <v>0</v>
      </c>
      <c r="N7" s="8" t="s">
        <v>44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D59"/>
  <sheetViews>
    <sheetView workbookViewId="0">
      <pane ySplit="2" topLeftCell="A3" activePane="bottomLeft" state="frozen"/>
      <selection pane="bottomLeft" activeCell="M5" sqref="M5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147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148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138</v>
      </c>
      <c r="C5" s="8" t="s">
        <v>138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1</v>
      </c>
      <c r="L5" s="10" t="s">
        <v>133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137</v>
      </c>
      <c r="C6" s="8" t="s">
        <v>144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136</v>
      </c>
      <c r="C7" s="8" t="s">
        <v>136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1</v>
      </c>
      <c r="L7" s="10" t="s">
        <v>133</v>
      </c>
      <c r="M7" s="9">
        <v>0</v>
      </c>
      <c r="N7" s="8" t="s">
        <v>142</v>
      </c>
      <c r="O7" s="7"/>
      <c r="P7" s="7"/>
      <c r="Q7" s="7"/>
      <c r="R7" s="7"/>
      <c r="AA7" s="7"/>
      <c r="AB7" s="7"/>
    </row>
    <row r="8" spans="1:28" x14ac:dyDescent="0.25">
      <c r="A8" s="7">
        <v>5</v>
      </c>
      <c r="B8" s="7" t="s">
        <v>45</v>
      </c>
      <c r="C8" s="8" t="s">
        <v>45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240</v>
      </c>
      <c r="L8" s="10" t="s">
        <v>43</v>
      </c>
      <c r="M8" s="9">
        <v>0</v>
      </c>
      <c r="N8" s="8" t="s">
        <v>44</v>
      </c>
      <c r="O8" s="7"/>
      <c r="AA8" s="7"/>
      <c r="AB8" s="7"/>
    </row>
    <row r="9" spans="1:28" x14ac:dyDescent="0.25">
      <c r="A9" s="7">
        <v>6</v>
      </c>
      <c r="B9" s="7" t="s">
        <v>47</v>
      </c>
      <c r="C9" s="8" t="s">
        <v>47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240</v>
      </c>
      <c r="L9" s="10" t="s">
        <v>43</v>
      </c>
      <c r="M9" s="9">
        <v>0</v>
      </c>
      <c r="N9" s="8" t="s">
        <v>44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50</v>
      </c>
      <c r="C10" s="8" t="s">
        <v>50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240</v>
      </c>
      <c r="L10" s="10" t="s">
        <v>43</v>
      </c>
      <c r="M10" s="9">
        <v>0</v>
      </c>
      <c r="N10" s="8" t="s">
        <v>44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D59"/>
  <sheetViews>
    <sheetView workbookViewId="0">
      <pane ySplit="2" topLeftCell="A3" activePane="bottomLeft" state="frozen"/>
      <selection pane="bottomLeft" activeCell="D12" sqref="D12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f>200*(1/1.0194)</f>
        <v>196.19383951343929</v>
      </c>
      <c r="L3" s="10" t="s">
        <v>143</v>
      </c>
      <c r="M3" s="9">
        <v>0.19950000000000001</v>
      </c>
      <c r="N3" s="8" t="s">
        <v>139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f>200*(1/1.0214)</f>
        <v>195.80967299784609</v>
      </c>
      <c r="L4" s="10" t="s">
        <v>143</v>
      </c>
      <c r="M4" s="9">
        <f>0.2737</f>
        <v>0.2737</v>
      </c>
      <c r="N4" s="8" t="s">
        <v>141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155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D59"/>
  <sheetViews>
    <sheetView topLeftCell="C1" workbookViewId="0">
      <pane ySplit="2" topLeftCell="A3" activePane="bottomLeft" state="frozen"/>
      <selection pane="bottomLeft" activeCell="D6" sqref="D6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v>200</v>
      </c>
      <c r="L3" s="10" t="s">
        <v>143</v>
      </c>
      <c r="M3" s="9">
        <v>0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v>200</v>
      </c>
      <c r="L4" s="10" t="s">
        <v>143</v>
      </c>
      <c r="M4" s="9">
        <v>0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165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D59"/>
  <sheetViews>
    <sheetView tabSelected="1" workbookViewId="0">
      <pane ySplit="2" topLeftCell="A3" activePane="bottomLeft" state="frozen"/>
      <selection pane="bottomLeft" activeCell="C3" sqref="C3"/>
    </sheetView>
  </sheetViews>
  <sheetFormatPr defaultRowHeight="15" x14ac:dyDescent="0.25"/>
  <cols>
    <col min="2" max="3" width="25" bestFit="1" customWidth="1"/>
    <col min="4" max="4" width="21.28515625" customWidth="1"/>
    <col min="5" max="5" width="11.5703125" bestFit="1" customWidth="1"/>
    <col min="6" max="6" width="7.42578125" customWidth="1"/>
    <col min="7" max="7" width="6.42578125" bestFit="1" customWidth="1"/>
    <col min="8" max="8" width="16.140625" customWidth="1"/>
    <col min="9" max="9" width="11.5703125" customWidth="1"/>
    <col min="10" max="10" width="12.85546875" customWidth="1"/>
    <col min="11" max="11" width="10.28515625" style="2" bestFit="1" customWidth="1"/>
    <col min="12" max="12" width="5.7109375" style="2" bestFit="1" customWidth="1"/>
    <col min="13" max="13" width="10.140625" style="2" customWidth="1"/>
    <col min="14" max="14" width="47.85546875" bestFit="1" customWidth="1"/>
  </cols>
  <sheetData>
    <row r="1" spans="1:28" ht="29.25" customHeight="1" x14ac:dyDescent="0.25">
      <c r="K1" s="1"/>
      <c r="M1" s="1"/>
      <c r="S1" s="3" t="s">
        <v>0</v>
      </c>
    </row>
    <row r="2" spans="1:28" x14ac:dyDescent="0.25">
      <c r="A2" s="3" t="s">
        <v>1</v>
      </c>
      <c r="B2" s="3" t="s">
        <v>2</v>
      </c>
      <c r="C2" s="4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5" t="s">
        <v>11</v>
      </c>
      <c r="L2" s="6" t="s">
        <v>12</v>
      </c>
      <c r="M2" s="5" t="s">
        <v>13</v>
      </c>
      <c r="N2" s="4" t="s">
        <v>14</v>
      </c>
      <c r="O2" s="3" t="s">
        <v>15</v>
      </c>
      <c r="P2" s="3"/>
      <c r="S2" t="s">
        <v>16</v>
      </c>
      <c r="AA2" s="7"/>
      <c r="AB2" s="7"/>
    </row>
    <row r="3" spans="1:28" x14ac:dyDescent="0.25">
      <c r="A3" s="7">
        <v>0</v>
      </c>
      <c r="B3" s="7" t="s">
        <v>145</v>
      </c>
      <c r="C3" s="8" t="s">
        <v>149</v>
      </c>
      <c r="D3" s="7"/>
      <c r="E3" s="7" t="s">
        <v>18</v>
      </c>
      <c r="F3" s="7" t="s">
        <v>19</v>
      </c>
      <c r="G3" s="7"/>
      <c r="H3" s="7" t="s">
        <v>20</v>
      </c>
      <c r="I3" s="7" t="s">
        <v>21</v>
      </c>
      <c r="J3" s="7"/>
      <c r="K3" s="9">
        <f>200/0.9394</f>
        <v>212.90185224611454</v>
      </c>
      <c r="L3" s="10" t="s">
        <v>143</v>
      </c>
      <c r="M3" s="9">
        <v>-1.9649000000000001</v>
      </c>
      <c r="N3" s="8" t="s">
        <v>163</v>
      </c>
      <c r="O3" s="11">
        <v>1.0149999999999999</v>
      </c>
      <c r="P3" t="s">
        <v>23</v>
      </c>
      <c r="S3" t="s">
        <v>24</v>
      </c>
      <c r="AA3" s="7"/>
      <c r="AB3" s="7"/>
    </row>
    <row r="4" spans="1:28" x14ac:dyDescent="0.25">
      <c r="A4" s="7">
        <v>1</v>
      </c>
      <c r="B4" s="7" t="s">
        <v>146</v>
      </c>
      <c r="C4" s="8" t="s">
        <v>150</v>
      </c>
      <c r="D4" s="7"/>
      <c r="E4" s="7" t="s">
        <v>26</v>
      </c>
      <c r="F4" s="7" t="s">
        <v>27</v>
      </c>
      <c r="G4" s="7"/>
      <c r="H4" s="7" t="s">
        <v>20</v>
      </c>
      <c r="I4" s="7" t="s">
        <v>21</v>
      </c>
      <c r="J4" s="7"/>
      <c r="K4" s="9">
        <f>200/0.9305</f>
        <v>214.93820526598603</v>
      </c>
      <c r="L4" s="10" t="s">
        <v>143</v>
      </c>
      <c r="M4" s="9">
        <v>0.34839999999999999</v>
      </c>
      <c r="N4" s="8" t="s">
        <v>164</v>
      </c>
      <c r="O4" s="7"/>
      <c r="S4" t="s">
        <v>28</v>
      </c>
      <c r="AA4" s="7"/>
      <c r="AB4" s="7"/>
    </row>
    <row r="5" spans="1:28" x14ac:dyDescent="0.25">
      <c r="A5" s="7">
        <v>2</v>
      </c>
      <c r="B5" s="7" t="s">
        <v>152</v>
      </c>
      <c r="C5" s="8" t="s">
        <v>152</v>
      </c>
      <c r="D5" s="7"/>
      <c r="E5" s="7" t="s">
        <v>31</v>
      </c>
      <c r="F5" s="7" t="s">
        <v>32</v>
      </c>
      <c r="G5" s="7"/>
      <c r="H5" s="7" t="s">
        <v>20</v>
      </c>
      <c r="I5" s="7" t="s">
        <v>21</v>
      </c>
      <c r="J5" s="12"/>
      <c r="K5" s="9">
        <v>400</v>
      </c>
      <c r="L5" s="10" t="s">
        <v>154</v>
      </c>
      <c r="M5" s="9">
        <v>0</v>
      </c>
      <c r="N5" s="8" t="s">
        <v>139</v>
      </c>
      <c r="O5" s="7"/>
      <c r="P5" s="7"/>
      <c r="Q5" s="7"/>
      <c r="R5" s="7"/>
      <c r="S5" t="s">
        <v>34</v>
      </c>
      <c r="AA5" s="7"/>
      <c r="AB5" s="7"/>
    </row>
    <row r="6" spans="1:28" x14ac:dyDescent="0.25">
      <c r="A6" s="7">
        <v>3</v>
      </c>
      <c r="B6" s="7" t="s">
        <v>155</v>
      </c>
      <c r="C6" s="8" t="s">
        <v>165</v>
      </c>
      <c r="D6" s="7"/>
      <c r="E6" s="7" t="s">
        <v>37</v>
      </c>
      <c r="F6" s="7" t="s">
        <v>38</v>
      </c>
      <c r="G6" s="7"/>
      <c r="H6" s="7" t="s">
        <v>20</v>
      </c>
      <c r="I6" s="7" t="s">
        <v>21</v>
      </c>
      <c r="J6" s="7"/>
      <c r="K6" s="9">
        <v>1</v>
      </c>
      <c r="L6" s="10" t="s">
        <v>133</v>
      </c>
      <c r="M6" s="9">
        <v>0</v>
      </c>
      <c r="N6" s="8" t="s">
        <v>140</v>
      </c>
      <c r="O6" s="7"/>
      <c r="P6" s="13"/>
      <c r="Q6" s="11"/>
      <c r="R6" s="13"/>
      <c r="S6" t="s">
        <v>40</v>
      </c>
      <c r="AA6" s="7"/>
      <c r="AB6" s="7"/>
    </row>
    <row r="7" spans="1:28" x14ac:dyDescent="0.25">
      <c r="A7" s="7">
        <v>4</v>
      </c>
      <c r="B7" s="7" t="s">
        <v>153</v>
      </c>
      <c r="C7" s="8" t="s">
        <v>153</v>
      </c>
      <c r="D7" s="7"/>
      <c r="E7" s="7" t="s">
        <v>42</v>
      </c>
      <c r="F7" s="7"/>
      <c r="G7" s="7"/>
      <c r="H7" s="7" t="s">
        <v>20</v>
      </c>
      <c r="I7" s="7" t="s">
        <v>21</v>
      </c>
      <c r="J7" s="7"/>
      <c r="K7" s="9">
        <v>400</v>
      </c>
      <c r="L7" s="10" t="s">
        <v>154</v>
      </c>
      <c r="M7" s="9">
        <v>0</v>
      </c>
      <c r="N7" s="8" t="s">
        <v>142</v>
      </c>
      <c r="O7" s="7"/>
      <c r="P7" s="7"/>
      <c r="Q7" s="7"/>
      <c r="R7" s="7"/>
      <c r="S7" t="s">
        <v>156</v>
      </c>
      <c r="AA7" s="7"/>
      <c r="AB7" s="7"/>
    </row>
    <row r="8" spans="1:28" x14ac:dyDescent="0.25">
      <c r="A8" s="7">
        <v>5</v>
      </c>
      <c r="B8" s="7" t="s">
        <v>151</v>
      </c>
      <c r="C8" s="8" t="s">
        <v>151</v>
      </c>
      <c r="D8" s="7"/>
      <c r="E8" s="7" t="s">
        <v>46</v>
      </c>
      <c r="F8" s="7"/>
      <c r="G8" s="7"/>
      <c r="H8" s="7" t="s">
        <v>20</v>
      </c>
      <c r="I8" s="7" t="s">
        <v>21</v>
      </c>
      <c r="J8" s="7"/>
      <c r="K8" s="9">
        <v>1</v>
      </c>
      <c r="L8" s="10" t="s">
        <v>110</v>
      </c>
      <c r="M8" s="9">
        <v>0</v>
      </c>
      <c r="N8" s="8" t="s">
        <v>161</v>
      </c>
      <c r="O8" s="7"/>
      <c r="S8" t="s">
        <v>162</v>
      </c>
      <c r="AA8" s="7"/>
      <c r="AB8" s="7"/>
    </row>
    <row r="9" spans="1:28" x14ac:dyDescent="0.25">
      <c r="A9" s="7">
        <v>6</v>
      </c>
      <c r="B9" s="7" t="s">
        <v>159</v>
      </c>
      <c r="C9" s="8" t="s">
        <v>159</v>
      </c>
      <c r="D9" s="7"/>
      <c r="E9" s="7" t="s">
        <v>48</v>
      </c>
      <c r="F9" s="7"/>
      <c r="G9" s="7"/>
      <c r="H9" s="7" t="s">
        <v>20</v>
      </c>
      <c r="I9" s="7" t="s">
        <v>21</v>
      </c>
      <c r="J9" s="7"/>
      <c r="K9" s="9">
        <v>1703.94</v>
      </c>
      <c r="L9" s="10" t="s">
        <v>154</v>
      </c>
      <c r="M9" s="9">
        <f>-K9*2.5006</f>
        <v>-4260.8723639999998</v>
      </c>
      <c r="N9" s="8" t="s">
        <v>158</v>
      </c>
      <c r="O9" s="7"/>
      <c r="T9">
        <v>5000</v>
      </c>
      <c r="U9">
        <v>5000</v>
      </c>
      <c r="V9" t="s">
        <v>49</v>
      </c>
      <c r="AA9" s="7"/>
      <c r="AB9" s="7"/>
    </row>
    <row r="10" spans="1:28" x14ac:dyDescent="0.25">
      <c r="A10" s="7">
        <v>7</v>
      </c>
      <c r="B10" s="7" t="s">
        <v>160</v>
      </c>
      <c r="C10" s="8" t="s">
        <v>160</v>
      </c>
      <c r="D10" s="7"/>
      <c r="E10" s="7" t="s">
        <v>51</v>
      </c>
      <c r="F10" s="7"/>
      <c r="G10" s="7"/>
      <c r="H10" s="7" t="s">
        <v>20</v>
      </c>
      <c r="I10" s="7" t="s">
        <v>21</v>
      </c>
      <c r="J10" s="7"/>
      <c r="K10" s="9">
        <v>858.69</v>
      </c>
      <c r="L10" s="10" t="s">
        <v>154</v>
      </c>
      <c r="M10" s="9">
        <f>-K10*2.5006</f>
        <v>-2147.2402139999999</v>
      </c>
      <c r="N10" s="8" t="s">
        <v>157</v>
      </c>
      <c r="O10" s="7"/>
      <c r="U10">
        <v>20</v>
      </c>
      <c r="V10" t="s">
        <v>52</v>
      </c>
      <c r="AA10" s="7"/>
      <c r="AB10" s="7"/>
    </row>
    <row r="11" spans="1:28" x14ac:dyDescent="0.25">
      <c r="A11" s="7">
        <v>8</v>
      </c>
      <c r="B11" s="7" t="s">
        <v>53</v>
      </c>
      <c r="C11" s="8" t="s">
        <v>54</v>
      </c>
      <c r="D11" s="7"/>
      <c r="E11" s="7" t="s">
        <v>55</v>
      </c>
      <c r="F11" s="7"/>
      <c r="G11" s="7"/>
      <c r="H11" s="7" t="s">
        <v>20</v>
      </c>
      <c r="I11" s="7" t="s">
        <v>21</v>
      </c>
      <c r="J11" s="7"/>
      <c r="K11" s="9">
        <v>0</v>
      </c>
      <c r="L11" s="10">
        <v>0</v>
      </c>
      <c r="M11" s="9">
        <v>0</v>
      </c>
      <c r="N11" s="8"/>
      <c r="O11" s="7"/>
      <c r="AA11" s="7"/>
    </row>
    <row r="12" spans="1:28" x14ac:dyDescent="0.25">
      <c r="A12" s="7">
        <v>9</v>
      </c>
      <c r="B12" s="7" t="s">
        <v>56</v>
      </c>
      <c r="C12" s="8" t="s">
        <v>54</v>
      </c>
      <c r="D12" s="7"/>
      <c r="E12" s="7" t="s">
        <v>57</v>
      </c>
      <c r="F12" s="7"/>
      <c r="G12" s="7"/>
      <c r="H12" s="7" t="s">
        <v>20</v>
      </c>
      <c r="I12" s="7" t="s">
        <v>21</v>
      </c>
      <c r="J12" s="7"/>
      <c r="K12" s="9">
        <v>0</v>
      </c>
      <c r="L12" s="10">
        <v>0</v>
      </c>
      <c r="M12" s="9">
        <v>0</v>
      </c>
      <c r="N12" s="8"/>
      <c r="O12" s="7"/>
      <c r="U12">
        <f>U10/U9</f>
        <v>4.0000000000000001E-3</v>
      </c>
      <c r="V12" t="s">
        <v>58</v>
      </c>
      <c r="AA12" s="7"/>
      <c r="AB12" s="7"/>
    </row>
    <row r="13" spans="1:28" x14ac:dyDescent="0.25">
      <c r="A13" s="7">
        <v>10</v>
      </c>
      <c r="B13" s="7"/>
      <c r="C13" s="8" t="s">
        <v>54</v>
      </c>
      <c r="D13" s="7"/>
      <c r="E13" s="7" t="s">
        <v>59</v>
      </c>
      <c r="F13" s="7"/>
      <c r="G13" s="7"/>
      <c r="H13" s="7" t="s">
        <v>20</v>
      </c>
      <c r="I13" s="7" t="s">
        <v>21</v>
      </c>
      <c r="J13" s="14"/>
      <c r="K13" s="9">
        <v>0</v>
      </c>
      <c r="L13" s="10">
        <v>0</v>
      </c>
      <c r="M13" s="9">
        <v>0</v>
      </c>
      <c r="N13" s="8"/>
      <c r="O13" s="7"/>
      <c r="U13">
        <f>U12/60</f>
        <v>6.666666666666667E-5</v>
      </c>
      <c r="V13" t="s">
        <v>60</v>
      </c>
      <c r="AA13" s="7"/>
    </row>
    <row r="14" spans="1:28" x14ac:dyDescent="0.25">
      <c r="A14" s="7">
        <v>11</v>
      </c>
      <c r="C14" s="8" t="s">
        <v>54</v>
      </c>
      <c r="D14" s="7"/>
      <c r="E14" s="7" t="s">
        <v>61</v>
      </c>
      <c r="F14" s="7"/>
      <c r="G14" s="7"/>
      <c r="H14" s="7" t="s">
        <v>20</v>
      </c>
      <c r="I14" s="7" t="s">
        <v>21</v>
      </c>
      <c r="J14" s="14"/>
      <c r="K14" s="9">
        <v>0</v>
      </c>
      <c r="L14" s="10">
        <v>0</v>
      </c>
      <c r="M14" s="9">
        <v>0</v>
      </c>
      <c r="N14" s="8"/>
      <c r="O14" s="7"/>
      <c r="U14">
        <f>1/U13</f>
        <v>15000</v>
      </c>
      <c r="V14" t="s">
        <v>62</v>
      </c>
      <c r="AA14" s="7"/>
      <c r="AB14" s="7"/>
    </row>
    <row r="15" spans="1:28" x14ac:dyDescent="0.25">
      <c r="A15" s="7">
        <v>12</v>
      </c>
      <c r="C15" s="8" t="s">
        <v>54</v>
      </c>
      <c r="D15" s="7"/>
      <c r="E15" s="7" t="s">
        <v>63</v>
      </c>
      <c r="F15" s="7"/>
      <c r="G15" s="7"/>
      <c r="H15" s="7" t="s">
        <v>20</v>
      </c>
      <c r="I15" s="7" t="s">
        <v>21</v>
      </c>
      <c r="J15" s="14"/>
      <c r="K15" s="9">
        <v>0</v>
      </c>
      <c r="L15" s="10">
        <v>0</v>
      </c>
      <c r="M15" s="9">
        <v>0</v>
      </c>
      <c r="N15" s="8"/>
      <c r="O15" s="7"/>
      <c r="AA15" s="7"/>
      <c r="AB15" s="7"/>
    </row>
    <row r="16" spans="1:28" x14ac:dyDescent="0.25">
      <c r="A16" s="7">
        <v>13</v>
      </c>
      <c r="B16" s="7"/>
      <c r="C16" s="8" t="s">
        <v>54</v>
      </c>
      <c r="D16" s="7"/>
      <c r="E16" s="7" t="s">
        <v>64</v>
      </c>
      <c r="F16" s="7"/>
      <c r="G16" s="7"/>
      <c r="H16" s="7" t="s">
        <v>20</v>
      </c>
      <c r="I16" s="7" t="s">
        <v>21</v>
      </c>
      <c r="J16" s="7"/>
      <c r="K16" s="9">
        <v>0</v>
      </c>
      <c r="L16" s="10">
        <v>0</v>
      </c>
      <c r="M16" s="9">
        <v>0</v>
      </c>
      <c r="N16" s="8"/>
      <c r="O16" s="7"/>
      <c r="AA16" s="7"/>
      <c r="AB16" s="7"/>
    </row>
    <row r="17" spans="1:30" x14ac:dyDescent="0.25">
      <c r="A17" s="7">
        <v>14</v>
      </c>
      <c r="B17" s="7"/>
      <c r="C17" s="8" t="s">
        <v>54</v>
      </c>
      <c r="D17" s="7"/>
      <c r="E17" s="7" t="s">
        <v>65</v>
      </c>
      <c r="F17" s="7"/>
      <c r="G17" s="7"/>
      <c r="H17" s="7" t="s">
        <v>20</v>
      </c>
      <c r="I17" s="7" t="s">
        <v>21</v>
      </c>
      <c r="J17" s="7"/>
      <c r="K17" s="9">
        <v>0</v>
      </c>
      <c r="L17" s="10">
        <v>0</v>
      </c>
      <c r="M17" s="9">
        <v>0</v>
      </c>
      <c r="N17" s="8"/>
      <c r="O17" s="7"/>
      <c r="AA17" s="7"/>
      <c r="AB17" s="7"/>
    </row>
    <row r="18" spans="1:30" x14ac:dyDescent="0.25">
      <c r="A18" s="7">
        <v>15</v>
      </c>
      <c r="B18" s="7" t="s">
        <v>66</v>
      </c>
      <c r="C18" s="8" t="s">
        <v>67</v>
      </c>
      <c r="D18" s="7"/>
      <c r="E18" s="7" t="s">
        <v>68</v>
      </c>
      <c r="F18" s="7"/>
      <c r="G18" s="7"/>
      <c r="H18" s="7" t="s">
        <v>20</v>
      </c>
      <c r="I18" s="7" t="s">
        <v>21</v>
      </c>
      <c r="J18" s="7"/>
      <c r="K18" s="9">
        <v>10</v>
      </c>
      <c r="L18" s="10" t="s">
        <v>69</v>
      </c>
      <c r="M18" s="9">
        <v>0.01</v>
      </c>
      <c r="N18" s="8" t="s">
        <v>70</v>
      </c>
      <c r="O18" s="7"/>
      <c r="AA18" s="7"/>
      <c r="AB18" s="7"/>
    </row>
    <row r="19" spans="1:30" x14ac:dyDescent="0.25">
      <c r="A19" s="7">
        <v>16</v>
      </c>
      <c r="B19" s="7" t="s">
        <v>71</v>
      </c>
      <c r="C19" s="8" t="s">
        <v>72</v>
      </c>
      <c r="D19" s="7"/>
      <c r="E19" s="7" t="s">
        <v>73</v>
      </c>
      <c r="F19" s="7"/>
      <c r="G19" s="7"/>
      <c r="H19" s="7" t="s">
        <v>20</v>
      </c>
      <c r="I19" s="7" t="s">
        <v>21</v>
      </c>
      <c r="J19" s="7"/>
      <c r="K19" s="9">
        <v>1.034</v>
      </c>
      <c r="L19" s="15" t="s">
        <v>74</v>
      </c>
      <c r="M19" s="9">
        <v>-1.0109999999999999</v>
      </c>
      <c r="N19" s="8" t="s">
        <v>75</v>
      </c>
      <c r="O19" s="7"/>
      <c r="AA19" s="7"/>
      <c r="AB19" s="7"/>
    </row>
    <row r="20" spans="1:30" x14ac:dyDescent="0.25">
      <c r="A20" s="7">
        <v>17</v>
      </c>
      <c r="B20" s="7" t="s">
        <v>76</v>
      </c>
      <c r="C20" s="8" t="s">
        <v>77</v>
      </c>
      <c r="D20" s="7"/>
      <c r="E20" s="7" t="s">
        <v>78</v>
      </c>
      <c r="F20" s="7"/>
      <c r="G20" s="7"/>
      <c r="H20" s="7" t="s">
        <v>20</v>
      </c>
      <c r="I20" s="7" t="s">
        <v>21</v>
      </c>
      <c r="J20" s="7"/>
      <c r="K20" s="9">
        <v>1.034</v>
      </c>
      <c r="L20" s="10" t="s">
        <v>74</v>
      </c>
      <c r="M20" s="9">
        <v>-1</v>
      </c>
      <c r="N20" s="8" t="s">
        <v>75</v>
      </c>
      <c r="O20" s="7"/>
      <c r="AA20" s="7"/>
    </row>
    <row r="21" spans="1:30" x14ac:dyDescent="0.25">
      <c r="A21" s="7">
        <v>18</v>
      </c>
      <c r="B21" s="7" t="s">
        <v>79</v>
      </c>
      <c r="C21" s="8" t="s">
        <v>80</v>
      </c>
      <c r="D21" s="7"/>
      <c r="E21" s="7" t="s">
        <v>81</v>
      </c>
      <c r="F21" s="7"/>
      <c r="G21" s="7"/>
      <c r="H21" s="7" t="s">
        <v>20</v>
      </c>
      <c r="I21" s="7" t="s">
        <v>21</v>
      </c>
      <c r="J21" s="7"/>
      <c r="K21" s="9">
        <v>1.0329999999999999</v>
      </c>
      <c r="L21" s="15" t="s">
        <v>74</v>
      </c>
      <c r="M21" s="9">
        <v>-1.0089999999999999</v>
      </c>
      <c r="N21" s="8" t="s">
        <v>75</v>
      </c>
      <c r="O21" s="7"/>
      <c r="AA21" s="7"/>
    </row>
    <row r="22" spans="1:30" x14ac:dyDescent="0.25">
      <c r="A22" s="7">
        <v>19</v>
      </c>
      <c r="B22" s="7" t="s">
        <v>82</v>
      </c>
      <c r="C22" s="8" t="s">
        <v>83</v>
      </c>
      <c r="D22" s="7"/>
      <c r="E22" s="7" t="s">
        <v>84</v>
      </c>
      <c r="F22" s="7"/>
      <c r="G22" s="7"/>
      <c r="H22" s="7" t="s">
        <v>20</v>
      </c>
      <c r="I22" s="7" t="s">
        <v>21</v>
      </c>
      <c r="J22" s="7"/>
      <c r="K22" s="9">
        <v>1.034</v>
      </c>
      <c r="L22" s="10" t="s">
        <v>74</v>
      </c>
      <c r="M22" s="9">
        <v>-1.0089999999999999</v>
      </c>
      <c r="N22" s="8" t="s">
        <v>75</v>
      </c>
      <c r="O22" s="7"/>
      <c r="P22" s="7"/>
      <c r="S22" t="s">
        <v>85</v>
      </c>
      <c r="AA22" s="7"/>
    </row>
    <row r="23" spans="1:30" x14ac:dyDescent="0.25">
      <c r="A23" s="7">
        <v>20</v>
      </c>
      <c r="B23" s="7" t="s">
        <v>86</v>
      </c>
      <c r="C23" s="8" t="s">
        <v>87</v>
      </c>
      <c r="D23" s="7"/>
      <c r="E23" s="7" t="s">
        <v>88</v>
      </c>
      <c r="F23" s="7"/>
      <c r="G23" s="7"/>
      <c r="H23" s="7" t="s">
        <v>20</v>
      </c>
      <c r="I23" s="7" t="s">
        <v>21</v>
      </c>
      <c r="J23" s="7"/>
      <c r="K23" s="9">
        <v>1.0329999999999999</v>
      </c>
      <c r="L23" s="15" t="s">
        <v>74</v>
      </c>
      <c r="M23" s="9">
        <v>-1.01</v>
      </c>
      <c r="N23" s="8" t="s">
        <v>75</v>
      </c>
      <c r="O23" s="11"/>
      <c r="P23" s="11"/>
    </row>
    <row r="24" spans="1:30" x14ac:dyDescent="0.25">
      <c r="A24" s="7">
        <v>21</v>
      </c>
      <c r="B24" s="7" t="s">
        <v>89</v>
      </c>
      <c r="C24" s="8" t="s">
        <v>90</v>
      </c>
      <c r="E24" s="7" t="s">
        <v>91</v>
      </c>
      <c r="F24" s="7"/>
      <c r="G24" s="7"/>
      <c r="H24" t="s">
        <v>20</v>
      </c>
      <c r="I24" s="7" t="s">
        <v>21</v>
      </c>
      <c r="K24" s="9">
        <v>1.869</v>
      </c>
      <c r="L24" s="10" t="s">
        <v>74</v>
      </c>
      <c r="M24" s="16">
        <v>-0.77700000000000002</v>
      </c>
      <c r="N24" s="8" t="s">
        <v>92</v>
      </c>
      <c r="O24" s="11"/>
      <c r="P24" s="11"/>
    </row>
    <row r="25" spans="1:30" x14ac:dyDescent="0.25">
      <c r="A25" s="7">
        <v>22</v>
      </c>
      <c r="B25" s="7" t="s">
        <v>93</v>
      </c>
      <c r="C25" s="8" t="s">
        <v>94</v>
      </c>
      <c r="E25" s="7" t="s">
        <v>95</v>
      </c>
      <c r="F25" s="7"/>
      <c r="G25" s="7"/>
      <c r="H25" t="s">
        <v>20</v>
      </c>
      <c r="I25" s="7" t="s">
        <v>21</v>
      </c>
      <c r="K25" s="9">
        <v>2.069</v>
      </c>
      <c r="L25" s="10" t="s">
        <v>23</v>
      </c>
      <c r="M25" s="16">
        <v>-1.006</v>
      </c>
      <c r="N25" s="8" t="s">
        <v>92</v>
      </c>
    </row>
    <row r="26" spans="1:30" x14ac:dyDescent="0.25">
      <c r="A26" s="7">
        <v>23</v>
      </c>
      <c r="B26" s="7" t="s">
        <v>96</v>
      </c>
      <c r="C26" s="8" t="s">
        <v>97</v>
      </c>
      <c r="E26" s="7" t="s">
        <v>98</v>
      </c>
      <c r="F26" s="7"/>
      <c r="G26" s="7"/>
      <c r="H26" t="s">
        <v>20</v>
      </c>
      <c r="I26" s="7" t="s">
        <v>21</v>
      </c>
      <c r="K26" s="9">
        <v>2.069</v>
      </c>
      <c r="L26" s="10" t="s">
        <v>74</v>
      </c>
      <c r="M26" s="16">
        <v>-1.0117</v>
      </c>
      <c r="N26" s="8" t="s">
        <v>92</v>
      </c>
    </row>
    <row r="27" spans="1:30" x14ac:dyDescent="0.25">
      <c r="A27" s="7">
        <v>24</v>
      </c>
      <c r="B27" s="7"/>
      <c r="C27" s="8" t="s">
        <v>54</v>
      </c>
      <c r="E27" s="7" t="s">
        <v>99</v>
      </c>
      <c r="F27" s="7"/>
      <c r="G27" s="7"/>
      <c r="H27" t="s">
        <v>20</v>
      </c>
      <c r="I27" s="7" t="s">
        <v>21</v>
      </c>
      <c r="K27" s="9">
        <v>0</v>
      </c>
      <c r="L27" s="15">
        <v>0</v>
      </c>
      <c r="M27" s="16">
        <v>0</v>
      </c>
      <c r="N27" s="8"/>
      <c r="AA27">
        <f>(5000/127)*60</f>
        <v>2362.2047244094488</v>
      </c>
      <c r="AB27" s="17"/>
      <c r="AC27" s="7">
        <v>5000</v>
      </c>
      <c r="AD27" t="s">
        <v>100</v>
      </c>
    </row>
    <row r="28" spans="1:30" x14ac:dyDescent="0.25">
      <c r="A28" s="7">
        <v>25</v>
      </c>
      <c r="B28" s="7" t="s">
        <v>101</v>
      </c>
      <c r="C28" s="8" t="s">
        <v>102</v>
      </c>
      <c r="E28" s="7" t="s">
        <v>103</v>
      </c>
      <c r="F28" s="7"/>
      <c r="G28" s="7"/>
      <c r="H28" t="s">
        <v>20</v>
      </c>
      <c r="I28" s="7" t="s">
        <v>21</v>
      </c>
      <c r="K28" s="9">
        <v>2000</v>
      </c>
      <c r="L28" s="10" t="s">
        <v>101</v>
      </c>
      <c r="M28" s="16">
        <v>0</v>
      </c>
      <c r="N28" s="8" t="s">
        <v>104</v>
      </c>
      <c r="AA28">
        <v>24</v>
      </c>
      <c r="AB28" s="7" t="s">
        <v>105</v>
      </c>
      <c r="AC28" s="7">
        <v>360</v>
      </c>
      <c r="AD28" t="s">
        <v>106</v>
      </c>
    </row>
    <row r="29" spans="1:30" x14ac:dyDescent="0.25">
      <c r="A29" s="7">
        <v>26</v>
      </c>
      <c r="B29" s="7" t="s">
        <v>107</v>
      </c>
      <c r="C29" s="8" t="s">
        <v>108</v>
      </c>
      <c r="E29" s="7" t="s">
        <v>109</v>
      </c>
      <c r="F29" s="7"/>
      <c r="G29" s="7"/>
      <c r="H29" t="s">
        <v>20</v>
      </c>
      <c r="I29" s="7" t="s">
        <v>21</v>
      </c>
      <c r="K29" s="9">
        <v>20</v>
      </c>
      <c r="L29" s="10" t="s">
        <v>110</v>
      </c>
      <c r="M29" s="16">
        <v>0</v>
      </c>
      <c r="N29" s="8" t="s">
        <v>111</v>
      </c>
      <c r="AB29" s="7"/>
      <c r="AC29" s="7">
        <f>AC27/AC28</f>
        <v>13.888888888888889</v>
      </c>
      <c r="AD29" t="s">
        <v>112</v>
      </c>
    </row>
    <row r="30" spans="1:30" x14ac:dyDescent="0.25">
      <c r="A30" s="7">
        <v>27</v>
      </c>
      <c r="B30" s="7" t="s">
        <v>113</v>
      </c>
      <c r="C30" s="8" t="s">
        <v>113</v>
      </c>
      <c r="E30" s="7" t="s">
        <v>114</v>
      </c>
      <c r="F30" s="7"/>
      <c r="G30" s="7"/>
      <c r="H30" t="s">
        <v>20</v>
      </c>
      <c r="I30" s="7" t="s">
        <v>21</v>
      </c>
      <c r="K30" s="9">
        <v>0.6</v>
      </c>
      <c r="L30" s="15" t="s">
        <v>115</v>
      </c>
      <c r="M30" s="9">
        <v>0</v>
      </c>
      <c r="N30" s="8" t="s">
        <v>116</v>
      </c>
      <c r="AB30" s="18"/>
      <c r="AC30" s="7">
        <f>60*AC29</f>
        <v>833.33333333333337</v>
      </c>
      <c r="AD30" t="s">
        <v>117</v>
      </c>
    </row>
    <row r="31" spans="1:30" x14ac:dyDescent="0.25">
      <c r="A31" s="7">
        <v>28</v>
      </c>
      <c r="B31" s="7" t="s">
        <v>118</v>
      </c>
      <c r="C31" s="8" t="s">
        <v>119</v>
      </c>
      <c r="D31">
        <f>(17.5/60)*3480</f>
        <v>1015.0000000000001</v>
      </c>
      <c r="E31" s="7" t="s">
        <v>120</v>
      </c>
      <c r="F31" s="7"/>
      <c r="G31" s="7"/>
      <c r="H31" t="s">
        <v>20</v>
      </c>
      <c r="I31" s="7" t="s">
        <v>21</v>
      </c>
      <c r="K31" s="9">
        <v>12</v>
      </c>
      <c r="L31" s="15" t="s">
        <v>115</v>
      </c>
      <c r="M31" s="9">
        <v>0</v>
      </c>
      <c r="N31" s="8" t="s">
        <v>121</v>
      </c>
      <c r="AB31" s="18"/>
      <c r="AC31" s="7"/>
    </row>
    <row r="32" spans="1:30" x14ac:dyDescent="0.25">
      <c r="A32" s="7">
        <v>29</v>
      </c>
      <c r="B32" s="7"/>
      <c r="C32" s="8" t="s">
        <v>54</v>
      </c>
      <c r="E32" s="7" t="s">
        <v>122</v>
      </c>
      <c r="F32" s="7"/>
      <c r="G32" s="7"/>
      <c r="H32" t="s">
        <v>20</v>
      </c>
      <c r="I32" s="7" t="s">
        <v>21</v>
      </c>
      <c r="K32" s="9">
        <v>0</v>
      </c>
      <c r="L32" s="15">
        <v>0</v>
      </c>
      <c r="M32" s="9">
        <v>0</v>
      </c>
      <c r="N32" s="8"/>
      <c r="AB32" s="18"/>
      <c r="AC32" s="7"/>
    </row>
    <row r="33" spans="1:29" x14ac:dyDescent="0.25">
      <c r="A33" s="7">
        <v>30</v>
      </c>
      <c r="B33" s="7"/>
      <c r="C33" s="8" t="s">
        <v>54</v>
      </c>
      <c r="E33" s="7" t="s">
        <v>123</v>
      </c>
      <c r="F33" s="7"/>
      <c r="G33" s="7"/>
      <c r="H33" t="s">
        <v>20</v>
      </c>
      <c r="I33" s="7" t="s">
        <v>21</v>
      </c>
      <c r="K33" s="9">
        <v>0</v>
      </c>
      <c r="L33" s="15">
        <v>0</v>
      </c>
      <c r="M33" s="9">
        <v>0</v>
      </c>
      <c r="N33" s="8"/>
      <c r="AB33">
        <v>2.5379999999999998</v>
      </c>
      <c r="AC33" t="s">
        <v>124</v>
      </c>
    </row>
    <row r="34" spans="1:29" x14ac:dyDescent="0.25">
      <c r="A34" s="7">
        <v>31</v>
      </c>
      <c r="B34" s="7"/>
      <c r="C34" s="8" t="s">
        <v>54</v>
      </c>
      <c r="E34" s="7" t="s">
        <v>125</v>
      </c>
      <c r="F34" s="7"/>
      <c r="G34" s="7"/>
      <c r="H34" t="s">
        <v>20</v>
      </c>
      <c r="I34" s="7" t="s">
        <v>21</v>
      </c>
      <c r="K34" s="9">
        <v>0</v>
      </c>
      <c r="L34" s="15">
        <v>0</v>
      </c>
      <c r="M34" s="9">
        <v>0</v>
      </c>
      <c r="N34" s="8"/>
      <c r="AB34">
        <f>127/107</f>
        <v>1.1869158878504673</v>
      </c>
      <c r="AC34" t="s">
        <v>126</v>
      </c>
    </row>
    <row r="35" spans="1:29" x14ac:dyDescent="0.25">
      <c r="A35" s="7">
        <v>32</v>
      </c>
      <c r="B35" t="s">
        <v>127</v>
      </c>
      <c r="C35" s="8" t="s">
        <v>102</v>
      </c>
      <c r="E35" s="7" t="s">
        <v>128</v>
      </c>
      <c r="H35" t="s">
        <v>20</v>
      </c>
      <c r="I35" s="7" t="s">
        <v>21</v>
      </c>
      <c r="K35" s="1">
        <f>60*(1/360)</f>
        <v>0.16666666666666669</v>
      </c>
      <c r="L35" s="2" t="s">
        <v>129</v>
      </c>
      <c r="M35" s="1">
        <v>0</v>
      </c>
      <c r="N35" t="s">
        <v>130</v>
      </c>
      <c r="AB35">
        <v>1050</v>
      </c>
      <c r="AC35" t="s">
        <v>131</v>
      </c>
    </row>
    <row r="36" spans="1:29" x14ac:dyDescent="0.25">
      <c r="A36" s="7"/>
      <c r="K36" s="1"/>
      <c r="M36" s="1"/>
      <c r="N36" s="7"/>
    </row>
    <row r="37" spans="1:29" x14ac:dyDescent="0.25">
      <c r="A37" s="7"/>
      <c r="K37" s="1"/>
      <c r="M37" s="1"/>
      <c r="AB37">
        <f>PRODUCT(AB33:AB35)</f>
        <v>3163.0121495327098</v>
      </c>
      <c r="AC37" t="s">
        <v>132</v>
      </c>
    </row>
    <row r="38" spans="1:29" x14ac:dyDescent="0.25">
      <c r="A38" s="7"/>
      <c r="K38" s="1"/>
      <c r="M38" s="1"/>
      <c r="AB38">
        <f>$AA$28*AC38</f>
        <v>8640</v>
      </c>
      <c r="AC38">
        <v>360</v>
      </c>
    </row>
    <row r="39" spans="1:29" x14ac:dyDescent="0.25">
      <c r="A39" s="7"/>
      <c r="B39" s="7"/>
      <c r="C39" s="7"/>
      <c r="D39" s="7"/>
      <c r="E39" s="7"/>
      <c r="F39" s="7"/>
      <c r="K39" s="1"/>
      <c r="M39" s="1"/>
    </row>
    <row r="40" spans="1:29" x14ac:dyDescent="0.25">
      <c r="B40" s="7"/>
      <c r="C40" s="7"/>
      <c r="D40" s="7"/>
      <c r="E40" s="7"/>
      <c r="F40" s="7"/>
    </row>
    <row r="41" spans="1:29" x14ac:dyDescent="0.25">
      <c r="B41" s="7"/>
      <c r="C41" s="7"/>
      <c r="D41" s="7"/>
      <c r="E41" s="7"/>
      <c r="F41" s="7"/>
    </row>
    <row r="42" spans="1:29" x14ac:dyDescent="0.25">
      <c r="B42" s="7"/>
      <c r="C42" s="7"/>
      <c r="D42" s="7"/>
      <c r="E42" s="7"/>
      <c r="F42" s="7"/>
      <c r="K42" s="19"/>
      <c r="L42" s="17"/>
      <c r="M42" s="19"/>
      <c r="N42" s="7"/>
    </row>
    <row r="43" spans="1:29" x14ac:dyDescent="0.25">
      <c r="B43" s="7"/>
      <c r="C43" s="7"/>
      <c r="D43" s="7"/>
      <c r="E43" s="7"/>
      <c r="F43" s="7"/>
      <c r="K43" s="20"/>
      <c r="L43" s="21"/>
      <c r="M43" s="19"/>
      <c r="N43" s="7"/>
    </row>
    <row r="44" spans="1:29" x14ac:dyDescent="0.25">
      <c r="B44" s="7"/>
      <c r="C44" s="7"/>
      <c r="D44" s="7"/>
      <c r="E44" s="7"/>
      <c r="F44" s="7"/>
      <c r="K44" s="20"/>
      <c r="L44" s="21"/>
      <c r="M44" s="20"/>
      <c r="N44" s="7"/>
    </row>
    <row r="45" spans="1:29" x14ac:dyDescent="0.25">
      <c r="B45" s="7"/>
      <c r="C45" s="7"/>
      <c r="D45" s="7"/>
      <c r="E45" s="7"/>
      <c r="F45" s="7"/>
      <c r="K45" s="20"/>
      <c r="L45" s="21"/>
      <c r="M45" s="20"/>
      <c r="N45" s="7"/>
    </row>
    <row r="46" spans="1:29" x14ac:dyDescent="0.25">
      <c r="B46" s="7"/>
      <c r="C46" s="7"/>
      <c r="D46" s="7"/>
      <c r="E46" s="7"/>
      <c r="F46" s="7"/>
      <c r="K46" s="20"/>
      <c r="L46" s="21"/>
      <c r="M46" s="20"/>
      <c r="N46" s="7"/>
    </row>
    <row r="47" spans="1:29" x14ac:dyDescent="0.25">
      <c r="B47" s="7"/>
      <c r="C47" s="7"/>
      <c r="D47" s="7"/>
      <c r="E47" s="7"/>
      <c r="F47" s="7"/>
      <c r="K47" s="20"/>
      <c r="L47" s="21"/>
      <c r="M47" s="20"/>
      <c r="N47" s="7"/>
    </row>
    <row r="48" spans="1:29" x14ac:dyDescent="0.25">
      <c r="B48" s="7"/>
      <c r="C48" s="7"/>
      <c r="D48" s="7"/>
      <c r="E48" s="7"/>
      <c r="F48" s="7"/>
      <c r="K48" s="19"/>
      <c r="L48" s="21"/>
      <c r="M48" s="20"/>
      <c r="N48" s="7"/>
    </row>
    <row r="49" spans="2:14" x14ac:dyDescent="0.25">
      <c r="B49" s="7"/>
      <c r="C49" s="7"/>
      <c r="D49" s="7"/>
      <c r="E49" s="7"/>
      <c r="F49" s="7"/>
      <c r="K49" s="19"/>
      <c r="L49" s="21"/>
      <c r="M49" s="20"/>
      <c r="N49" s="7"/>
    </row>
    <row r="50" spans="2:14" x14ac:dyDescent="0.25">
      <c r="B50" s="7"/>
      <c r="C50" s="7"/>
      <c r="D50" s="7"/>
      <c r="E50" s="7"/>
      <c r="F50" s="7"/>
      <c r="K50" s="19"/>
      <c r="L50" s="17"/>
      <c r="M50" s="20"/>
      <c r="N50" s="7"/>
    </row>
    <row r="51" spans="2:14" x14ac:dyDescent="0.25">
      <c r="B51" s="7"/>
      <c r="C51" s="7"/>
      <c r="D51" s="7"/>
      <c r="E51" s="7"/>
      <c r="F51" s="7"/>
      <c r="K51" s="19"/>
      <c r="L51" s="21"/>
      <c r="M51" s="20"/>
      <c r="N51" s="7"/>
    </row>
    <row r="52" spans="2:14" x14ac:dyDescent="0.25">
      <c r="B52" s="7"/>
      <c r="C52" s="7"/>
      <c r="D52" s="7"/>
      <c r="E52" s="7"/>
      <c r="F52" s="7"/>
      <c r="K52" s="20"/>
      <c r="L52" s="21"/>
      <c r="M52" s="20"/>
      <c r="N52" s="7"/>
    </row>
    <row r="53" spans="2:14" x14ac:dyDescent="0.25">
      <c r="B53" s="7"/>
      <c r="C53" s="7"/>
      <c r="D53" s="7"/>
      <c r="E53" s="7"/>
      <c r="F53" s="7"/>
      <c r="K53" s="20"/>
      <c r="L53" s="21"/>
      <c r="M53" s="20"/>
      <c r="N53" s="7"/>
    </row>
    <row r="54" spans="2:14" x14ac:dyDescent="0.25">
      <c r="B54" s="7"/>
      <c r="C54" s="7"/>
      <c r="D54" s="7"/>
      <c r="E54" s="7"/>
      <c r="F54" s="7"/>
      <c r="K54" s="19"/>
      <c r="L54" s="17"/>
      <c r="M54" s="19"/>
      <c r="N54" s="14"/>
    </row>
    <row r="55" spans="2:14" x14ac:dyDescent="0.25">
      <c r="B55" s="7"/>
      <c r="C55" s="7"/>
      <c r="D55" s="7"/>
      <c r="E55" s="7"/>
      <c r="F55" s="7"/>
      <c r="K55" s="19"/>
      <c r="L55" s="17"/>
      <c r="M55" s="19"/>
      <c r="N55" s="7"/>
    </row>
    <row r="56" spans="2:14" x14ac:dyDescent="0.25">
      <c r="B56" s="7"/>
      <c r="C56" s="7"/>
      <c r="D56" s="7"/>
      <c r="E56" s="7"/>
      <c r="F56" s="7"/>
      <c r="K56" s="19"/>
      <c r="L56" s="17"/>
      <c r="M56" s="19"/>
      <c r="N56" s="7"/>
    </row>
    <row r="57" spans="2:14" x14ac:dyDescent="0.25">
      <c r="B57" s="7"/>
      <c r="C57" s="7"/>
      <c r="D57" s="7"/>
      <c r="E57" s="7"/>
      <c r="F57" s="7"/>
      <c r="K57" s="19"/>
      <c r="L57" s="17"/>
      <c r="M57" s="19"/>
      <c r="N57" s="7"/>
    </row>
    <row r="58" spans="2:14" x14ac:dyDescent="0.25">
      <c r="B58" s="7"/>
      <c r="C58" s="7"/>
      <c r="D58" s="7"/>
      <c r="E58" s="7"/>
      <c r="F58" s="7"/>
    </row>
    <row r="59" spans="2:14" x14ac:dyDescent="0.25">
      <c r="B59" s="7"/>
      <c r="C59" s="7"/>
      <c r="D59" s="7"/>
      <c r="E59" s="7"/>
      <c r="F5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AsTxt.SaveAsTxt">
                <anchor moveWithCells="1" sizeWithCells="1">
                  <from>
                    <xdr:col>2</xdr:col>
                    <xdr:colOff>847725</xdr:colOff>
                    <xdr:row>0</xdr:row>
                    <xdr:rowOff>19050</xdr:rowOff>
                  </from>
                  <to>
                    <xdr:col>4</xdr:col>
                    <xdr:colOff>361950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ChanCfg</vt:lpstr>
      <vt:lpstr>ChanCfg (2)</vt:lpstr>
      <vt:lpstr>ChanCfg v200908</vt:lpstr>
      <vt:lpstr>ChanCfg v200909</vt:lpstr>
      <vt:lpstr>ChanCfg v200909_B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Pesko</dc:creator>
  <cp:lastModifiedBy>Fuel Lab</cp:lastModifiedBy>
  <dcterms:created xsi:type="dcterms:W3CDTF">2019-06-27T21:22:09Z</dcterms:created>
  <dcterms:modified xsi:type="dcterms:W3CDTF">2020-09-10T01:25:20Z</dcterms:modified>
</cp:coreProperties>
</file>